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B39EF51E-1D99-4594-B592-227FB7801A1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0" i="1" l="1"/>
  <c r="C219" i="1"/>
  <c r="C218" i="1"/>
  <c r="C217" i="1"/>
  <c r="C49" i="1" l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s="1"/>
  <c r="C250" i="1" s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5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3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</futureMetadata>
  <valueMetadata count="23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</valueMetadata>
</metadata>
</file>

<file path=xl/sharedStrings.xml><?xml version="1.0" encoding="utf-8"?>
<sst xmlns="http://schemas.openxmlformats.org/spreadsheetml/2006/main" count="1148" uniqueCount="328">
  <si>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</si>
  <si>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</si>
  <si>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</si>
  <si>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</si>
  <si>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</si>
  <si>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</si>
  <si>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</si>
  <si>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</si>
  <si>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</si>
  <si>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</si>
  <si>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</si>
  <si>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</si>
  <si>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</si>
  <si>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</si>
  <si>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</si>
  <si>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</si>
  <si>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</si>
  <si>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</si>
  <si>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</si>
  <si>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</si>
  <si>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</si>
  <si>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</si>
  <si>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</si>
  <si>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</si>
  <si>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</si>
  <si>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</si>
  <si>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</si>
  <si>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</si>
  <si>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</si>
  <si>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</si>
  <si>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</si>
  <si>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</si>
  <si>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</si>
  <si>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</si>
  <si>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</si>
  <si>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</si>
  <si>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</si>
  <si>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</si>
  <si>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</si>
  <si>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</si>
  <si>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</si>
  <si>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</si>
  <si>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</si>
  <si>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</si>
  <si>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</si>
  <si>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</si>
  <si>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</si>
  <si>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</si>
  <si>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</si>
  <si>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</si>
  <si>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</si>
  <si>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</si>
  <si>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</si>
  <si>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</si>
  <si>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</si>
  <si>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</si>
  <si>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</si>
  <si>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</si>
  <si>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</si>
  <si>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</si>
  <si>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</si>
  <si>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</si>
  <si>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</si>
  <si>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</si>
  <si>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</si>
  <si>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</si>
  <si>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</si>
  <si>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</si>
  <si>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</si>
  <si>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</si>
  <si>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</si>
  <si>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</si>
  <si>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</si>
  <si>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</si>
  <si>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</si>
  <si>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</si>
  <si>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</si>
  <si>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</si>
  <si>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</si>
  <si>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</si>
  <si>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</si>
  <si>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</si>
  <si>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</si>
  <si>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</si>
  <si>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</si>
  <si>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</si>
  <si>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</si>
  <si>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</si>
  <si>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</si>
  <si>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</si>
  <si>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</si>
  <si>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</si>
  <si>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</si>
  <si>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</si>
  <si>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</si>
  <si>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</si>
  <si>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</si>
  <si>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</si>
  <si>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</si>
  <si>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</si>
  <si>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</si>
  <si>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</si>
  <si>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</si>
  <si>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</si>
  <si>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</si>
  <si>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</si>
  <si>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</si>
  <si>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</si>
  <si>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</si>
  <si>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</si>
  <si>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</si>
  <si>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</si>
  <si>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</si>
  <si>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</si>
  <si>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</si>
  <si>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</si>
  <si>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</si>
  <si>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</si>
  <si>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</si>
  <si>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</si>
  <si>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</si>
  <si>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</si>
  <si>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</si>
  <si>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</si>
  <si>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</si>
  <si>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</si>
  <si>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</si>
  <si>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</si>
  <si>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</si>
  <si>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</si>
  <si>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</si>
  <si>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</si>
  <si>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</si>
  <si>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</si>
  <si>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</si>
  <si>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</si>
  <si>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</si>
  <si>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</si>
  <si>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</si>
  <si>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</si>
  <si>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</si>
  <si>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</si>
  <si>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</si>
  <si>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</si>
  <si>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</si>
  <si>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</si>
  <si>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</si>
  <si>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</si>
  <si>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</si>
  <si>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</si>
  <si>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</si>
  <si>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</si>
  <si>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</si>
  <si>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</si>
  <si>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</si>
  <si>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</si>
  <si>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</si>
  <si>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</si>
  <si>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</si>
  <si>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</si>
  <si>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</si>
  <si>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</si>
  <si>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</si>
  <si>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</si>
  <si>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</si>
  <si>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</si>
  <si>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</si>
  <si>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</si>
  <si>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</si>
  <si>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</si>
  <si>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</si>
  <si>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</si>
  <si>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</si>
  <si>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</si>
  <si>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</si>
  <si>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</si>
  <si>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</si>
  <si>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</si>
  <si>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</si>
  <si>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</si>
  <si>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</si>
  <si>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</si>
  <si>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</si>
  <si>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</si>
  <si>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</si>
  <si>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</si>
  <si>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</si>
  <si>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</si>
  <si>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</si>
  <si>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</si>
  <si>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</si>
  <si>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</si>
  <si>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</si>
  <si>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</si>
  <si>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</si>
  <si>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</si>
  <si>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</si>
  <si>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</si>
  <si>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</si>
  <si>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</si>
  <si>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</si>
  <si>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</si>
  <si>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</si>
  <si>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</si>
  <si>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</si>
  <si>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</si>
  <si>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</si>
  <si>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</si>
  <si>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</si>
  <si>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</si>
  <si>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</si>
  <si>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</si>
  <si>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</si>
  <si>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</si>
  <si>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</si>
  <si>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</si>
  <si>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</si>
  <si>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</si>
  <si>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</si>
  <si>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</si>
  <si>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</si>
  <si>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</si>
  <si>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</si>
  <si>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</si>
  <si>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</si>
  <si>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</si>
  <si>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</si>
  <si>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</si>
  <si>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</si>
  <si>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</si>
  <si>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</si>
  <si>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</si>
  <si>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</si>
  <si>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</si>
  <si>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</si>
  <si>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</si>
  <si>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</si>
  <si>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</si>
  <si>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</si>
  <si>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</si>
  <si>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</si>
  <si>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</si>
  <si>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</si>
  <si>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</si>
  <si>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</si>
  <si>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</si>
  <si>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</si>
  <si>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</si>
  <si>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</si>
  <si>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</si>
  <si>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</si>
  <si>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</si>
  <si>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</si>
  <si>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</si>
  <si>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</si>
  <si>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</si>
  <si>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</si>
  <si>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</si>
  <si>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</si>
  <si>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</si>
  <si>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</si>
  <si>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</si>
  <si>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</si>
  <si>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</si>
  <si>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</si>
  <si>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</si>
  <si>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</si>
  <si>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</si>
  <si>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</si>
  <si>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</si>
  <si>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</si>
  <si>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</si>
  <si>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</si>
  <si>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</si>
  <si>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</si>
  <si>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</si>
  <si>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</si>
  <si>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</si>
  <si>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</si>
  <si>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</si>
  <si>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</si>
  <si>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</si>
  <si>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</si>
  <si>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</si>
  <si>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</si>
  <si>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</si>
  <si>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</si>
  <si>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</si>
  <si>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</si>
  <si>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</si>
  <si>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</si>
  <si>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</si>
  <si>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</si>
  <si>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</si>
  <si>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</si>
  <si>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</si>
  <si>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</si>
  <si>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</si>
  <si>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</si>
  <si>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</si>
  <si>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</si>
  <si>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</si>
  <si>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</si>
  <si>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</si>
  <si>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</si>
  <si>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</si>
  <si>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</si>
  <si>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</si>
  <si>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</si>
  <si>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</si>
  <si>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</si>
  <si>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</si>
  <si>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</si>
  <si>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</si>
  <si>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</si>
  <si>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</si>
  <si>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</si>
  <si>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</si>
  <si>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</si>
  <si>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</si>
  <si>
    <t>Ting-Lu</t>
  </si>
  <si>
    <t>Wo-Chien</t>
  </si>
  <si>
    <t>Chi-Yu</t>
  </si>
  <si>
    <t>Chien-Pao</t>
  </si>
  <si>
    <t>Tic</t>
  </si>
  <si>
    <t>Clic</t>
  </si>
  <si>
    <t>Cliticlic</t>
  </si>
  <si>
    <t>lv.49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</si>
</sst>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20" borderId="5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2" fillId="2" borderId="6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7" xfId="0" applyFont="1" applyFill="1" applyBorder="1" applyAlignment="1">
      <alignment horizontal="left" vertical="top" wrapText="1"/>
    </xf>
    <xf numFmtId="0" fontId="2" fillId="18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2" fillId="3" borderId="7" xfId="0" applyFont="1" applyFill="1" applyBorder="1" applyAlignment="1">
      <alignment horizontal="left" vertical="top" wrapText="1"/>
    </xf>
    <xf numFmtId="0" fontId="0" fillId="0" borderId="8" xfId="0" applyBorder="1"/>
    <xf numFmtId="0" fontId="2" fillId="4" borderId="8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6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4" borderId="7" xfId="0" applyFont="1" applyFill="1" applyBorder="1" applyAlignment="1">
      <alignment horizontal="left" vertical="top" wrapText="1"/>
    </xf>
    <xf numFmtId="0" fontId="2" fillId="15" borderId="7" xfId="0" applyFont="1" applyFill="1" applyBorder="1" applyAlignment="1">
      <alignment horizontal="left" vertical="top" wrapText="1"/>
    </xf>
    <xf numFmtId="0" fontId="3" fillId="16" borderId="8" xfId="0" applyFont="1" applyFill="1" applyBorder="1" applyAlignment="1">
      <alignment horizontal="left" vertical="top" wrapText="1"/>
    </xf>
    <xf numFmtId="0" fontId="2" fillId="17" borderId="7" xfId="0" applyFont="1" applyFill="1" applyBorder="1" applyAlignment="1">
      <alignment horizontal="left" vertical="top" wrapText="1"/>
    </xf>
    <xf numFmtId="0" fontId="2" fillId="4" borderId="7" xfId="0" applyFont="1" applyFill="1" applyBorder="1" applyAlignment="1">
      <alignment horizontal="left" vertical="top" wrapText="1"/>
    </xf>
    <xf numFmtId="0" fontId="2" fillId="24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5" borderId="8" xfId="0" applyFont="1" applyFill="1" applyBorder="1" applyAlignment="1">
      <alignment horizontal="left" vertical="top" wrapText="1"/>
    </xf>
    <xf numFmtId="0" fontId="3" fillId="25" borderId="8" xfId="0" applyFont="1" applyFill="1" applyBorder="1" applyAlignment="1">
      <alignment horizontal="left" vertical="top" wrapText="1"/>
    </xf>
    <xf numFmtId="0" fontId="2" fillId="23" borderId="7" xfId="0" applyFont="1" applyFill="1" applyBorder="1" applyAlignment="1">
      <alignment horizontal="left" vertical="top" wrapText="1"/>
    </xf>
    <xf numFmtId="0" fontId="2" fillId="14" borderId="8" xfId="0" applyFont="1" applyFill="1" applyBorder="1" applyAlignment="1">
      <alignment horizontal="left" vertical="top" wrapText="1"/>
    </xf>
    <xf numFmtId="0" fontId="2" fillId="22" borderId="7" xfId="0" applyFont="1" applyFill="1" applyBorder="1" applyAlignment="1">
      <alignment horizontal="left" vertical="top" wrapText="1"/>
    </xf>
    <xf numFmtId="0" fontId="2" fillId="21" borderId="8" xfId="0" applyFont="1" applyFill="1" applyBorder="1" applyAlignment="1">
      <alignment horizontal="left" vertical="top" wrapText="1"/>
    </xf>
    <xf numFmtId="0" fontId="2" fillId="20" borderId="8" xfId="0" applyFont="1" applyFill="1" applyBorder="1" applyAlignment="1">
      <alignment horizontal="left" vertical="top" wrapText="1"/>
    </xf>
    <xf numFmtId="0" fontId="2" fillId="19" borderId="8" xfId="0" applyFont="1" applyFill="1" applyBorder="1" applyAlignment="1">
      <alignment horizontal="left" vertical="top" wrapText="1"/>
    </xf>
    <xf numFmtId="0" fontId="2" fillId="21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6" borderId="7" xfId="0" applyFont="1" applyFill="1" applyBorder="1" applyAlignment="1">
      <alignment horizontal="left" vertical="top" wrapText="1"/>
    </xf>
    <xf numFmtId="0" fontId="2" fillId="19" borderId="7" xfId="0" applyFont="1" applyFill="1" applyBorder="1" applyAlignment="1">
      <alignment horizontal="left" vertical="top" wrapText="1"/>
    </xf>
    <xf numFmtId="0" fontId="2" fillId="18" borderId="7" xfId="0" applyFont="1" applyFill="1" applyBorder="1" applyAlignment="1">
      <alignment horizontal="left" vertical="top" wrapText="1"/>
    </xf>
    <xf numFmtId="0" fontId="3" fillId="16" borderId="7" xfId="0" applyFont="1" applyFill="1" applyBorder="1" applyAlignment="1">
      <alignment horizontal="left" vertical="top" wrapText="1"/>
    </xf>
    <xf numFmtId="0" fontId="2" fillId="22" borderId="8" xfId="0" applyFont="1" applyFill="1" applyBorder="1" applyAlignment="1">
      <alignment horizontal="left" vertical="top" wrapText="1"/>
    </xf>
    <xf numFmtId="0" fontId="2" fillId="3" borderId="8" xfId="0" applyFont="1" applyFill="1" applyBorder="1" applyAlignment="1">
      <alignment horizontal="left" vertical="top" wrapText="1"/>
    </xf>
    <xf numFmtId="0" fontId="2" fillId="24" borderId="8" xfId="0" applyFont="1" applyFill="1" applyBorder="1" applyAlignment="1">
      <alignment horizontal="left" vertical="top" wrapText="1"/>
    </xf>
    <xf numFmtId="0" fontId="2" fillId="23" borderId="8" xfId="0" applyFont="1" applyFill="1" applyBorder="1" applyAlignment="1">
      <alignment horizontal="left" vertical="top" wrapText="1"/>
    </xf>
    <xf numFmtId="0" fontId="2" fillId="0" borderId="8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8" xfId="0" applyFont="1" applyFill="1" applyBorder="1" applyAlignment="1">
      <alignment horizontal="left" vertical="top" wrapText="1"/>
    </xf>
    <xf numFmtId="0" fontId="3" fillId="25" borderId="7" xfId="0" applyFont="1" applyFill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2" fillId="17" borderId="8" xfId="0" applyFont="1" applyFill="1" applyBorder="1" applyAlignment="1">
      <alignment horizontal="left" vertical="top" wrapText="1"/>
    </xf>
    <xf numFmtId="0" fontId="0" fillId="0" borderId="7" xfId="0" applyBorder="1"/>
    <xf numFmtId="0" fontId="0" fillId="0" borderId="12" xfId="0" applyBorder="1"/>
    <xf numFmtId="0" fontId="0" fillId="0" borderId="13" xfId="0" applyBorder="1"/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20</c:v>
                </c:pt>
                <c:pt idx="1">
                  <c:v>24</c:v>
                </c:pt>
                <c:pt idx="2">
                  <c:v>41</c:v>
                </c:pt>
                <c:pt idx="3">
                  <c:v>16</c:v>
                </c:pt>
                <c:pt idx="4">
                  <c:v>18</c:v>
                </c:pt>
                <c:pt idx="5">
                  <c:v>17</c:v>
                </c:pt>
                <c:pt idx="6">
                  <c:v>13</c:v>
                </c:pt>
                <c:pt idx="7">
                  <c:v>19</c:v>
                </c:pt>
                <c:pt idx="8">
                  <c:v>20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19</c:v>
                </c:pt>
                <c:pt idx="13">
                  <c:v>21</c:v>
                </c:pt>
                <c:pt idx="14">
                  <c:v>12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42" Type="http://schemas.openxmlformats.org/officeDocument/2006/relationships/image" Target="../media/image42.png"/><Relationship Id="rId63" Type="http://schemas.openxmlformats.org/officeDocument/2006/relationships/image" Target="../media/image63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26" Type="http://schemas.openxmlformats.org/officeDocument/2006/relationships/image" Target="../media/image226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53" Type="http://schemas.openxmlformats.org/officeDocument/2006/relationships/image" Target="../media/image53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149" Type="http://schemas.openxmlformats.org/officeDocument/2006/relationships/image" Target="../media/image149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28" Type="http://schemas.openxmlformats.org/officeDocument/2006/relationships/image" Target="../media/image22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29" Type="http://schemas.openxmlformats.org/officeDocument/2006/relationships/image" Target="../media/image229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230" Type="http://schemas.openxmlformats.org/officeDocument/2006/relationships/image" Target="../media/image230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79" Type="http://schemas.openxmlformats.org/officeDocument/2006/relationships/image" Target="../media/image179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0" Type="http://schemas.openxmlformats.org/officeDocument/2006/relationships/image" Target="../media/image220.png"/><Relationship Id="rId225" Type="http://schemas.openxmlformats.org/officeDocument/2006/relationships/image" Target="../media/image225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48" Type="http://schemas.openxmlformats.org/officeDocument/2006/relationships/image" Target="../media/image148.png"/><Relationship Id="rId164" Type="http://schemas.openxmlformats.org/officeDocument/2006/relationships/image" Target="../media/image164.png"/><Relationship Id="rId169" Type="http://schemas.openxmlformats.org/officeDocument/2006/relationships/image" Target="../media/image169.png"/><Relationship Id="rId185" Type="http://schemas.openxmlformats.org/officeDocument/2006/relationships/image" Target="../media/image185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80" Type="http://schemas.openxmlformats.org/officeDocument/2006/relationships/image" Target="../media/image180.png"/><Relationship Id="rId210" Type="http://schemas.openxmlformats.org/officeDocument/2006/relationships/image" Target="../media/image210.png"/><Relationship Id="rId215" Type="http://schemas.openxmlformats.org/officeDocument/2006/relationships/image" Target="../media/image215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3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  <rv s="0">
    <v>227</v>
    <v>5</v>
  </rv>
  <rv s="0">
    <v>228</v>
    <v>5</v>
  </rv>
  <rv s="0">
    <v>229</v>
    <v>5</v>
  </rv>
  <rv s="0">
    <v>230</v>
    <v>5</v>
  </rv>
  <rv s="0">
    <v>231</v>
    <v>5</v>
  </rv>
  <rv s="0">
    <v>232</v>
    <v>5</v>
  </rv>
  <rv s="0">
    <v>233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  <rel r:id="rId228"/>
  <rel r:id="rId229"/>
  <rel r:id="rId230"/>
  <rel r:id="rId231"/>
  <rel r:id="rId232"/>
  <rel r:id="rId233"/>
  <rel r:id="rId23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50"/>
  <sheetViews>
    <sheetView tabSelected="1" topLeftCell="A215" zoomScaleNormal="100" workbookViewId="0">
      <selection activeCell="K226" sqref="K226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87" t="s">
        <v>0</v>
      </c>
      <c r="M2" s="87"/>
      <c r="N2" s="87"/>
      <c r="O2" s="87"/>
      <c r="P2" s="87"/>
      <c r="Q2" s="87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82" t="s">
        <v>4</v>
      </c>
      <c r="F3" s="82" t="s">
        <v>5</v>
      </c>
      <c r="G3" s="88" t="s">
        <v>6</v>
      </c>
      <c r="H3" s="88"/>
      <c r="I3" s="88" t="s">
        <v>7</v>
      </c>
      <c r="J3" s="88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43" t="s">
        <v>16</v>
      </c>
      <c r="F4" s="44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40">
        <f>SUM(L4:Q4)</f>
        <v>308</v>
      </c>
      <c r="S4" s="38" t="s">
        <v>16</v>
      </c>
      <c r="T4" s="19">
        <f>COUNTIF(E$6:F$250, "Grass")</f>
        <v>20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45" t="s">
        <v>16</v>
      </c>
      <c r="F5" s="46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40">
        <f t="shared" ref="R5:R69" si="1">SUM(L5:Q5)</f>
        <v>413</v>
      </c>
      <c r="S5" s="21" t="s">
        <v>24</v>
      </c>
      <c r="T5" s="20">
        <f>COUNTIF(E$6:F$250, "Fire")</f>
        <v>24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45" t="s">
        <v>16</v>
      </c>
      <c r="F6" s="46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40">
        <f t="shared" si="1"/>
        <v>528</v>
      </c>
      <c r="S6" s="22" t="s">
        <v>30</v>
      </c>
      <c r="T6" s="20">
        <f>COUNTIF(E$6:F$250, "Water")</f>
        <v>41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47" t="s">
        <v>24</v>
      </c>
      <c r="F7" s="48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40">
        <f t="shared" si="1"/>
        <v>310</v>
      </c>
      <c r="S7" s="23" t="s">
        <v>37</v>
      </c>
      <c r="T7" s="20">
        <f>COUNTIF(E$6:F$250, "Normal")</f>
        <v>16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47" t="s">
        <v>24</v>
      </c>
      <c r="F8" s="49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40">
        <f t="shared" si="1"/>
        <v>405</v>
      </c>
      <c r="S8" s="24" t="s">
        <v>27</v>
      </c>
      <c r="T8" s="20">
        <f>COUNTIF(E$6:F$250, "Fighting")</f>
        <v>18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47" t="s">
        <v>24</v>
      </c>
      <c r="F9" s="49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40">
        <f t="shared" si="1"/>
        <v>530</v>
      </c>
      <c r="S9" s="25" t="s">
        <v>41</v>
      </c>
      <c r="T9" s="20">
        <f>COUNTIF(E$6:F$250, "Flying")</f>
        <v>17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50" t="s">
        <v>30</v>
      </c>
      <c r="F10" s="46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40">
        <f t="shared" si="1"/>
        <v>314</v>
      </c>
      <c r="S10" s="26" t="s">
        <v>63</v>
      </c>
      <c r="T10" s="20">
        <f>COUNTIF(E$6:F$250, "Psychic")</f>
        <v>13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50" t="s">
        <v>30</v>
      </c>
      <c r="F11" s="46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40">
        <f t="shared" si="1"/>
        <v>405</v>
      </c>
      <c r="S11" s="27" t="s">
        <v>45</v>
      </c>
      <c r="T11" s="20">
        <f>COUNTIF(E$6:F$250, "Bug")</f>
        <v>19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50" t="s">
        <v>30</v>
      </c>
      <c r="F12" s="51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40">
        <f t="shared" si="1"/>
        <v>530</v>
      </c>
      <c r="S12" s="28" t="s">
        <v>50</v>
      </c>
      <c r="T12" s="20">
        <f>COUNTIF(E$6:F$250, "Ground")</f>
        <v>20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52" t="s">
        <v>37</v>
      </c>
      <c r="F13" s="46"/>
      <c r="G13" s="1" t="e" vm="3">
        <v>#VALUE!</v>
      </c>
      <c r="H13" s="1" t="s">
        <v>17</v>
      </c>
      <c r="I13" s="1"/>
      <c r="J13" s="1"/>
      <c r="K13" s="1" t="s">
        <v>25</v>
      </c>
      <c r="L13" s="7"/>
      <c r="M13" s="9"/>
      <c r="N13" s="11"/>
      <c r="O13" s="13"/>
      <c r="P13" s="15"/>
      <c r="Q13" s="17"/>
      <c r="R13" s="40">
        <f t="shared" si="1"/>
        <v>0</v>
      </c>
      <c r="S13" s="29" t="s">
        <v>64</v>
      </c>
      <c r="T13" s="20">
        <f>COUNTIF(E$6:F$250, "Rock")</f>
        <v>20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52" t="s">
        <v>37</v>
      </c>
      <c r="F14" s="46"/>
      <c r="G14" s="1" t="e" vm="3">
        <v>#VALUE!</v>
      </c>
      <c r="H14" s="1" t="s">
        <v>17</v>
      </c>
      <c r="I14" s="1"/>
      <c r="J14" s="1"/>
      <c r="K14" s="1" t="s">
        <v>39</v>
      </c>
      <c r="L14" s="7"/>
      <c r="M14" s="9"/>
      <c r="N14" s="11"/>
      <c r="O14" s="13"/>
      <c r="P14" s="15"/>
      <c r="Q14" s="17"/>
      <c r="R14" s="40">
        <f t="shared" si="1"/>
        <v>0</v>
      </c>
      <c r="S14" s="30" t="s">
        <v>65</v>
      </c>
      <c r="T14" s="20">
        <f>COUNTIF(E$6:F$250, "Ghost")</f>
        <v>21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52" t="s">
        <v>37</v>
      </c>
      <c r="F15" s="46"/>
      <c r="G15" s="1" t="e" vm="3">
        <v>#VALUE!</v>
      </c>
      <c r="H15" s="1" t="s">
        <v>17</v>
      </c>
      <c r="I15" s="1"/>
      <c r="J15" s="1"/>
      <c r="K15" s="1" t="s">
        <v>22</v>
      </c>
      <c r="L15" s="7"/>
      <c r="M15" s="9"/>
      <c r="N15" s="11"/>
      <c r="O15" s="13"/>
      <c r="P15" s="15"/>
      <c r="Q15" s="17"/>
      <c r="R15" s="40">
        <f t="shared" si="1"/>
        <v>0</v>
      </c>
      <c r="S15" s="31" t="s">
        <v>48</v>
      </c>
      <c r="T15" s="20">
        <f>COUNTIF(E$6:F$250, "Dark")</f>
        <v>22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52" t="s">
        <v>37</v>
      </c>
      <c r="F16" s="63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/>
      <c r="M16" s="9"/>
      <c r="N16" s="11"/>
      <c r="O16" s="13"/>
      <c r="P16" s="15"/>
      <c r="Q16" s="17"/>
      <c r="R16" s="40">
        <f t="shared" si="1"/>
        <v>0</v>
      </c>
      <c r="S16" s="32" t="s">
        <v>66</v>
      </c>
      <c r="T16" s="20">
        <f>COUNTIF(E$6:F$250, "Ice")</f>
        <v>19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47" t="s">
        <v>24</v>
      </c>
      <c r="F17" s="63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/>
      <c r="M17" s="9"/>
      <c r="N17" s="11"/>
      <c r="O17" s="13"/>
      <c r="P17" s="15"/>
      <c r="Q17" s="17"/>
      <c r="R17" s="40">
        <f t="shared" si="1"/>
        <v>0</v>
      </c>
      <c r="S17" s="33" t="s">
        <v>34</v>
      </c>
      <c r="T17" s="20">
        <f>COUNTIF(E$6:F$250, "Steel")</f>
        <v>21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47" t="s">
        <v>24</v>
      </c>
      <c r="F18" s="63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/>
      <c r="M18" s="9"/>
      <c r="N18" s="11"/>
      <c r="O18" s="13"/>
      <c r="P18" s="15"/>
      <c r="Q18" s="17"/>
      <c r="R18" s="40">
        <f t="shared" si="1"/>
        <v>0</v>
      </c>
      <c r="S18" s="34" t="s">
        <v>67</v>
      </c>
      <c r="T18" s="20">
        <f>COUNTIF(E$6:F$250, "Electrik")</f>
        <v>12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54" t="s">
        <v>45</v>
      </c>
      <c r="F19" s="46"/>
      <c r="G19" s="1" t="e" vm="21">
        <v>#VALUE!</v>
      </c>
      <c r="H19" s="1" t="s">
        <v>45</v>
      </c>
      <c r="I19" s="1"/>
      <c r="J19" s="1"/>
      <c r="K19" s="1" t="s">
        <v>46</v>
      </c>
      <c r="L19" s="7"/>
      <c r="M19" s="9"/>
      <c r="N19" s="11"/>
      <c r="O19" s="13"/>
      <c r="P19" s="15"/>
      <c r="Q19" s="17"/>
      <c r="R19" s="40">
        <f t="shared" si="1"/>
        <v>0</v>
      </c>
      <c r="S19" s="35" t="s">
        <v>68</v>
      </c>
      <c r="T19" s="20">
        <f>COUNTIF(E$6:F$250, "Poison")</f>
        <v>15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54" t="s">
        <v>45</v>
      </c>
      <c r="F20" s="55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/>
      <c r="M20" s="9"/>
      <c r="N20" s="11"/>
      <c r="O20" s="13"/>
      <c r="P20" s="15"/>
      <c r="Q20" s="17"/>
      <c r="R20" s="40">
        <f t="shared" si="1"/>
        <v>0</v>
      </c>
      <c r="S20" s="36" t="s">
        <v>60</v>
      </c>
      <c r="T20" s="20">
        <f>COUNTIF(E$6:F$250, "Fairy")</f>
        <v>15</v>
      </c>
    </row>
    <row r="21" spans="2:20" ht="30" customHeight="1" x14ac:dyDescent="0.25">
      <c r="B21" s="5" t="e" vm="23">
        <v>#VALUE!</v>
      </c>
      <c r="C21" s="5">
        <f t="shared" si="0"/>
        <v>18</v>
      </c>
      <c r="D21" s="1" t="s">
        <v>49</v>
      </c>
      <c r="E21" s="56" t="s">
        <v>50</v>
      </c>
      <c r="F21" s="46"/>
      <c r="G21" s="1" t="e" vm="3">
        <v>#VALUE!</v>
      </c>
      <c r="H21" s="1" t="s">
        <v>17</v>
      </c>
      <c r="I21" s="1"/>
      <c r="J21" s="1"/>
      <c r="K21" s="1" t="s">
        <v>51</v>
      </c>
      <c r="L21" s="7"/>
      <c r="M21" s="9"/>
      <c r="N21" s="11"/>
      <c r="O21" s="13"/>
      <c r="P21" s="15"/>
      <c r="Q21" s="17"/>
      <c r="R21" s="40">
        <f t="shared" si="1"/>
        <v>0</v>
      </c>
      <c r="S21" s="37" t="s">
        <v>69</v>
      </c>
      <c r="T21" s="20">
        <f>COUNTIF(E$6:F$250, "Dragon")</f>
        <v>15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56" t="s">
        <v>50</v>
      </c>
      <c r="F22" s="46"/>
      <c r="G22" s="1" t="e" vm="3">
        <v>#VALUE!</v>
      </c>
      <c r="H22" s="1" t="s">
        <v>17</v>
      </c>
      <c r="I22" s="1"/>
      <c r="J22" s="1"/>
      <c r="K22" s="1" t="s">
        <v>22</v>
      </c>
      <c r="L22" s="7"/>
      <c r="M22" s="9"/>
      <c r="N22" s="11"/>
      <c r="O22" s="13"/>
      <c r="P22" s="15"/>
      <c r="Q22" s="17"/>
      <c r="R22" s="40">
        <f t="shared" si="1"/>
        <v>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57" t="s">
        <v>27</v>
      </c>
      <c r="F23" s="46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/>
      <c r="M23" s="9"/>
      <c r="N23" s="11"/>
      <c r="O23" s="13"/>
      <c r="P23" s="15"/>
      <c r="Q23" s="17"/>
      <c r="R23" s="40">
        <f t="shared" si="1"/>
        <v>0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57" t="s">
        <v>27</v>
      </c>
      <c r="F24" s="55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/>
      <c r="M24" s="9"/>
      <c r="N24" s="11"/>
      <c r="O24" s="13"/>
      <c r="P24" s="15"/>
      <c r="Q24" s="17"/>
      <c r="R24" s="40">
        <f t="shared" si="1"/>
        <v>0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45" t="s">
        <v>16</v>
      </c>
      <c r="F25" s="46"/>
      <c r="G25" s="1" t="e" vm="2">
        <v>#VALUE!</v>
      </c>
      <c r="H25" s="1" t="s">
        <v>16</v>
      </c>
      <c r="I25" s="1"/>
      <c r="J25" s="1"/>
      <c r="K25" s="1" t="s">
        <v>58</v>
      </c>
      <c r="L25" s="7"/>
      <c r="M25" s="9"/>
      <c r="N25" s="11"/>
      <c r="O25" s="13"/>
      <c r="P25" s="15"/>
      <c r="Q25" s="17"/>
      <c r="R25" s="40">
        <f t="shared" si="1"/>
        <v>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45" t="s">
        <v>16</v>
      </c>
      <c r="F26" s="46"/>
      <c r="G26" s="1" t="e" vm="2">
        <v>#VALUE!</v>
      </c>
      <c r="H26" s="1" t="s">
        <v>16</v>
      </c>
      <c r="I26" s="1"/>
      <c r="J26" s="1"/>
      <c r="K26" s="1" t="s">
        <v>22</v>
      </c>
      <c r="L26" s="7"/>
      <c r="M26" s="9"/>
      <c r="N26" s="11"/>
      <c r="O26" s="13"/>
      <c r="P26" s="15"/>
      <c r="Q26" s="17"/>
      <c r="R26" s="40">
        <f t="shared" si="1"/>
        <v>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45" t="s">
        <v>16</v>
      </c>
      <c r="F27" s="42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/>
      <c r="M27" s="9"/>
      <c r="N27" s="11"/>
      <c r="O27" s="13"/>
      <c r="P27" s="15"/>
      <c r="Q27" s="17"/>
      <c r="R27" s="40">
        <f t="shared" si="1"/>
        <v>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45" t="s">
        <v>16</v>
      </c>
      <c r="F28" s="42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/>
      <c r="M28" s="9"/>
      <c r="N28" s="11"/>
      <c r="O28" s="13"/>
      <c r="P28" s="15"/>
      <c r="Q28" s="17"/>
      <c r="R28" s="40">
        <f t="shared" si="1"/>
        <v>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41" t="s">
        <v>64</v>
      </c>
      <c r="F29" s="46"/>
      <c r="G29" s="1" t="e" vm="34">
        <v>#VALUE!</v>
      </c>
      <c r="H29" s="1" t="s">
        <v>71</v>
      </c>
      <c r="I29" s="1"/>
      <c r="J29" s="1"/>
      <c r="K29" s="1" t="s">
        <v>72</v>
      </c>
      <c r="L29" s="7"/>
      <c r="M29" s="9"/>
      <c r="N29" s="11"/>
      <c r="O29" s="13"/>
      <c r="P29" s="15"/>
      <c r="Q29" s="17"/>
      <c r="R29" s="40">
        <f t="shared" si="1"/>
        <v>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41" t="s">
        <v>64</v>
      </c>
      <c r="F30" s="46"/>
      <c r="G30" s="1" t="e" vm="34">
        <v>#VALUE!</v>
      </c>
      <c r="H30" s="1" t="s">
        <v>71</v>
      </c>
      <c r="I30" s="1"/>
      <c r="J30" s="1"/>
      <c r="K30" s="1" t="s">
        <v>260</v>
      </c>
      <c r="L30" s="7"/>
      <c r="M30" s="9"/>
      <c r="N30" s="11"/>
      <c r="O30" s="13"/>
      <c r="P30" s="15"/>
      <c r="Q30" s="17"/>
      <c r="R30" s="40">
        <f t="shared" si="1"/>
        <v>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41" t="s">
        <v>64</v>
      </c>
      <c r="F31" s="46"/>
      <c r="G31" s="1" t="e" vm="34">
        <v>#VALUE!</v>
      </c>
      <c r="H31" s="1" t="s">
        <v>71</v>
      </c>
      <c r="I31" s="1"/>
      <c r="J31" s="1"/>
      <c r="K31" s="1" t="s">
        <v>22</v>
      </c>
      <c r="L31" s="7"/>
      <c r="M31" s="9"/>
      <c r="N31" s="11"/>
      <c r="O31" s="13"/>
      <c r="P31" s="15"/>
      <c r="Q31" s="17"/>
      <c r="R31" s="40">
        <f t="shared" si="1"/>
        <v>0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45" t="s">
        <v>16</v>
      </c>
      <c r="F32" s="46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/>
      <c r="M32" s="9"/>
      <c r="N32" s="11"/>
      <c r="O32" s="13"/>
      <c r="P32" s="15"/>
      <c r="Q32" s="17"/>
      <c r="R32" s="40">
        <f t="shared" si="1"/>
        <v>0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45" t="s">
        <v>16</v>
      </c>
      <c r="F33" s="49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/>
      <c r="M33" s="9"/>
      <c r="N33" s="11"/>
      <c r="O33" s="13"/>
      <c r="P33" s="15"/>
      <c r="Q33" s="17"/>
      <c r="R33" s="40">
        <f t="shared" si="1"/>
        <v>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58" t="s">
        <v>68</v>
      </c>
      <c r="F34" s="59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/>
      <c r="M34" s="9"/>
      <c r="N34" s="11"/>
      <c r="O34" s="13"/>
      <c r="P34" s="15"/>
      <c r="Q34" s="17"/>
      <c r="R34" s="40">
        <f t="shared" si="1"/>
        <v>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58" t="s">
        <v>68</v>
      </c>
      <c r="F35" s="59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/>
      <c r="M35" s="9"/>
      <c r="N35" s="11"/>
      <c r="O35" s="13"/>
      <c r="P35" s="15"/>
      <c r="Q35" s="17"/>
      <c r="R35" s="40">
        <f t="shared" si="1"/>
        <v>0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50" t="s">
        <v>30</v>
      </c>
      <c r="F36" s="60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/>
      <c r="M36" s="9"/>
      <c r="N36" s="11"/>
      <c r="O36" s="13"/>
      <c r="P36" s="15"/>
      <c r="Q36" s="17"/>
      <c r="R36" s="40">
        <f t="shared" si="1"/>
        <v>0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50" t="s">
        <v>30</v>
      </c>
      <c r="F37" s="60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/>
      <c r="M37" s="9"/>
      <c r="N37" s="11"/>
      <c r="O37" s="13"/>
      <c r="P37" s="15"/>
      <c r="Q37" s="17"/>
      <c r="R37" s="40">
        <f t="shared" si="1"/>
        <v>0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45" t="s">
        <v>16</v>
      </c>
      <c r="F38" s="46"/>
      <c r="G38" s="1" t="e" vm="3">
        <v>#VALUE!</v>
      </c>
      <c r="H38" s="1" t="s">
        <v>17</v>
      </c>
      <c r="I38" s="1"/>
      <c r="J38" s="1"/>
      <c r="K38" s="1" t="s">
        <v>39</v>
      </c>
      <c r="L38" s="7"/>
      <c r="M38" s="9"/>
      <c r="N38" s="11"/>
      <c r="O38" s="13"/>
      <c r="P38" s="15"/>
      <c r="Q38" s="17"/>
      <c r="R38" s="40">
        <f t="shared" si="1"/>
        <v>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45" t="s">
        <v>16</v>
      </c>
      <c r="F39" s="46"/>
      <c r="G39" s="1" t="e" vm="3">
        <v>#VALUE!</v>
      </c>
      <c r="H39" s="1" t="s">
        <v>17</v>
      </c>
      <c r="I39" s="1"/>
      <c r="J39" s="1"/>
      <c r="K39" s="1" t="s">
        <v>22</v>
      </c>
      <c r="L39" s="7"/>
      <c r="M39" s="9"/>
      <c r="N39" s="11"/>
      <c r="O39" s="13"/>
      <c r="P39" s="15"/>
      <c r="Q39" s="17"/>
      <c r="R39" s="40">
        <f t="shared" si="1"/>
        <v>0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52" t="s">
        <v>37</v>
      </c>
      <c r="F40" s="46"/>
      <c r="G40" s="1" t="e" vm="3">
        <v>#VALUE!</v>
      </c>
      <c r="H40" s="1" t="s">
        <v>17</v>
      </c>
      <c r="I40" s="1"/>
      <c r="J40" s="1"/>
      <c r="K40" s="1" t="s">
        <v>83</v>
      </c>
      <c r="L40" s="7"/>
      <c r="M40" s="9"/>
      <c r="N40" s="11"/>
      <c r="O40" s="13"/>
      <c r="P40" s="15"/>
      <c r="Q40" s="17"/>
      <c r="R40" s="40">
        <f t="shared" si="1"/>
        <v>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52" t="s">
        <v>37</v>
      </c>
      <c r="F41" s="46"/>
      <c r="G41" s="1" t="e" vm="3">
        <v>#VALUE!</v>
      </c>
      <c r="H41" s="1" t="s">
        <v>17</v>
      </c>
      <c r="I41" s="1"/>
      <c r="J41" s="1"/>
      <c r="K41" s="1" t="s">
        <v>85</v>
      </c>
      <c r="L41" s="7"/>
      <c r="M41" s="9"/>
      <c r="N41" s="11"/>
      <c r="O41" s="13"/>
      <c r="P41" s="15"/>
      <c r="Q41" s="17"/>
      <c r="R41" s="40">
        <f t="shared" si="1"/>
        <v>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56" t="s">
        <v>50</v>
      </c>
      <c r="F42" s="59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/>
      <c r="M42" s="9"/>
      <c r="N42" s="11"/>
      <c r="O42" s="13"/>
      <c r="P42" s="15"/>
      <c r="Q42" s="17"/>
      <c r="R42" s="40">
        <f t="shared" si="1"/>
        <v>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45" t="s">
        <v>16</v>
      </c>
      <c r="F43" s="61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/>
      <c r="M43" s="9"/>
      <c r="N43" s="11"/>
      <c r="O43" s="13"/>
      <c r="P43" s="15"/>
      <c r="Q43" s="17"/>
      <c r="R43" s="40">
        <f t="shared" si="1"/>
        <v>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45" t="s">
        <v>16</v>
      </c>
      <c r="F44" s="61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/>
      <c r="M44" s="9"/>
      <c r="N44" s="11"/>
      <c r="O44" s="13"/>
      <c r="P44" s="15"/>
      <c r="Q44" s="17"/>
      <c r="R44" s="40">
        <f t="shared" si="1"/>
        <v>0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45" t="s">
        <v>16</v>
      </c>
      <c r="F45" s="61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/>
      <c r="M45" s="9"/>
      <c r="N45" s="11"/>
      <c r="O45" s="13"/>
      <c r="P45" s="15"/>
      <c r="Q45" s="17"/>
      <c r="R45" s="40">
        <f t="shared" si="1"/>
        <v>0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62" t="s">
        <v>67</v>
      </c>
      <c r="F46" s="63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/>
      <c r="M46" s="9"/>
      <c r="N46" s="11"/>
      <c r="O46" s="13"/>
      <c r="P46" s="15"/>
      <c r="Q46" s="17"/>
      <c r="R46" s="40">
        <f t="shared" si="1"/>
        <v>0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52" t="s">
        <v>37</v>
      </c>
      <c r="F47" s="42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/>
      <c r="M47" s="9"/>
      <c r="N47" s="11"/>
      <c r="O47" s="13"/>
      <c r="P47" s="15"/>
      <c r="Q47" s="17"/>
      <c r="R47" s="40">
        <f t="shared" si="1"/>
        <v>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50" t="s">
        <v>30</v>
      </c>
      <c r="F48" s="42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/>
      <c r="M48" s="9"/>
      <c r="N48" s="11"/>
      <c r="O48" s="13"/>
      <c r="P48" s="15"/>
      <c r="Q48" s="17"/>
      <c r="R48" s="40">
        <f t="shared" si="1"/>
        <v>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50" t="s">
        <v>30</v>
      </c>
      <c r="F49" s="42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/>
      <c r="M49" s="9"/>
      <c r="N49" s="11"/>
      <c r="O49" s="13"/>
      <c r="P49" s="15"/>
      <c r="Q49" s="17"/>
      <c r="R49" s="40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64" t="s">
        <v>66</v>
      </c>
      <c r="F50" s="46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/>
      <c r="M50" s="9"/>
      <c r="N50" s="11"/>
      <c r="O50" s="13"/>
      <c r="P50" s="15"/>
      <c r="Q50" s="17"/>
      <c r="R50" s="40">
        <f t="shared" si="1"/>
        <v>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64" t="s">
        <v>66</v>
      </c>
      <c r="F51" s="46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/>
      <c r="M51" s="9"/>
      <c r="N51" s="11"/>
      <c r="O51" s="13"/>
      <c r="P51" s="15"/>
      <c r="Q51" s="17"/>
      <c r="R51" s="40">
        <f t="shared" si="1"/>
        <v>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64" t="s">
        <v>66</v>
      </c>
      <c r="F52" s="65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/>
      <c r="M52" s="9"/>
      <c r="N52" s="11"/>
      <c r="O52" s="13"/>
      <c r="P52" s="15"/>
      <c r="Q52" s="17"/>
      <c r="R52" s="40">
        <f t="shared" si="1"/>
        <v>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54" t="s">
        <v>45</v>
      </c>
      <c r="F53" s="66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/>
      <c r="M53" s="9"/>
      <c r="N53" s="11"/>
      <c r="O53" s="13"/>
      <c r="P53" s="15"/>
      <c r="Q53" s="17"/>
      <c r="R53" s="40">
        <f t="shared" si="1"/>
        <v>0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54" t="s">
        <v>45</v>
      </c>
      <c r="F54" s="66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/>
      <c r="M54" s="9"/>
      <c r="N54" s="11"/>
      <c r="O54" s="13"/>
      <c r="P54" s="15"/>
      <c r="Q54" s="17"/>
      <c r="R54" s="40">
        <f t="shared" si="1"/>
        <v>0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52" t="s">
        <v>37</v>
      </c>
      <c r="F55" s="46"/>
      <c r="G55" s="1" t="e" vm="3">
        <v>#VALUE!</v>
      </c>
      <c r="H55" s="1" t="s">
        <v>17</v>
      </c>
      <c r="I55" s="1"/>
      <c r="J55" s="1"/>
      <c r="K55" s="1" t="s">
        <v>302</v>
      </c>
      <c r="L55" s="7"/>
      <c r="M55" s="9"/>
      <c r="N55" s="11"/>
      <c r="O55" s="13"/>
      <c r="P55" s="15"/>
      <c r="Q55" s="17"/>
      <c r="R55" s="40">
        <f t="shared" si="1"/>
        <v>0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52" t="s">
        <v>37</v>
      </c>
      <c r="F56" s="67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/>
      <c r="M56" s="9"/>
      <c r="N56" s="11"/>
      <c r="O56" s="13"/>
      <c r="P56" s="15"/>
      <c r="Q56" s="17"/>
      <c r="R56" s="40">
        <f t="shared" si="1"/>
        <v>0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50" t="s">
        <v>30</v>
      </c>
      <c r="F57" s="46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/>
      <c r="M57" s="9"/>
      <c r="N57" s="11"/>
      <c r="O57" s="13"/>
      <c r="P57" s="15"/>
      <c r="Q57" s="17"/>
      <c r="R57" s="40">
        <f t="shared" si="1"/>
        <v>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50" t="s">
        <v>30</v>
      </c>
      <c r="F58" s="63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/>
      <c r="M58" s="9"/>
      <c r="N58" s="11"/>
      <c r="O58" s="13"/>
      <c r="P58" s="15"/>
      <c r="Q58" s="17"/>
      <c r="R58" s="40">
        <f t="shared" si="1"/>
        <v>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56" t="s">
        <v>50</v>
      </c>
      <c r="F59" s="63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/>
      <c r="M59" s="9"/>
      <c r="N59" s="11"/>
      <c r="O59" s="13"/>
      <c r="P59" s="15"/>
      <c r="Q59" s="17"/>
      <c r="R59" s="40">
        <f t="shared" si="1"/>
        <v>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56" t="s">
        <v>50</v>
      </c>
      <c r="F60" s="63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/>
      <c r="M60" s="9"/>
      <c r="N60" s="11"/>
      <c r="O60" s="13"/>
      <c r="P60" s="15"/>
      <c r="Q60" s="17"/>
      <c r="R60" s="40">
        <f t="shared" si="1"/>
        <v>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47" t="s">
        <v>24</v>
      </c>
      <c r="F61" s="46"/>
      <c r="G61" s="1" t="e" vm="3">
        <v>#VALUE!</v>
      </c>
      <c r="H61" s="1" t="s">
        <v>17</v>
      </c>
      <c r="I61" s="1"/>
      <c r="J61" s="1"/>
      <c r="K61" s="1" t="s">
        <v>109</v>
      </c>
      <c r="L61" s="7"/>
      <c r="M61" s="9"/>
      <c r="N61" s="11"/>
      <c r="O61" s="13"/>
      <c r="P61" s="15"/>
      <c r="Q61" s="17"/>
      <c r="R61" s="40">
        <f t="shared" si="1"/>
        <v>0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47" t="s">
        <v>24</v>
      </c>
      <c r="F62" s="46"/>
      <c r="G62" s="1" t="e" vm="3">
        <v>#VALUE!</v>
      </c>
      <c r="H62" s="1" t="s">
        <v>17</v>
      </c>
      <c r="I62" s="1"/>
      <c r="J62" s="1"/>
      <c r="K62" s="1" t="s">
        <v>22</v>
      </c>
      <c r="L62" s="7"/>
      <c r="M62" s="9"/>
      <c r="N62" s="11"/>
      <c r="O62" s="13"/>
      <c r="P62" s="15"/>
      <c r="Q62" s="17"/>
      <c r="R62" s="40">
        <f t="shared" si="1"/>
        <v>0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57" t="s">
        <v>27</v>
      </c>
      <c r="F63" s="46"/>
      <c r="G63" s="1" t="e" vm="3">
        <v>#VALUE!</v>
      </c>
      <c r="H63" s="1" t="s">
        <v>17</v>
      </c>
      <c r="I63" s="1"/>
      <c r="J63" s="1"/>
      <c r="K63" s="1" t="s">
        <v>78</v>
      </c>
      <c r="L63" s="7"/>
      <c r="M63" s="9"/>
      <c r="N63" s="11"/>
      <c r="O63" s="13"/>
      <c r="P63" s="15"/>
      <c r="Q63" s="17"/>
      <c r="R63" s="40">
        <f t="shared" si="1"/>
        <v>0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57" t="s">
        <v>27</v>
      </c>
      <c r="F64" s="46"/>
      <c r="G64" s="1" t="e" vm="3">
        <v>#VALUE!</v>
      </c>
      <c r="H64" s="1" t="s">
        <v>17</v>
      </c>
      <c r="I64" s="1"/>
      <c r="J64" s="1"/>
      <c r="K64" s="1" t="s">
        <v>130</v>
      </c>
      <c r="L64" s="7"/>
      <c r="M64" s="9"/>
      <c r="N64" s="11"/>
      <c r="O64" s="13"/>
      <c r="P64" s="15"/>
      <c r="Q64" s="17"/>
      <c r="R64" s="40">
        <f t="shared" si="1"/>
        <v>0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57" t="s">
        <v>27</v>
      </c>
      <c r="F65" s="65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/>
      <c r="M65" s="9"/>
      <c r="N65" s="11"/>
      <c r="O65" s="13"/>
      <c r="P65" s="15"/>
      <c r="Q65" s="17"/>
      <c r="R65" s="40">
        <f t="shared" si="1"/>
        <v>0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68" t="s">
        <v>65</v>
      </c>
      <c r="F66" s="63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/>
      <c r="M66" s="9"/>
      <c r="N66" s="11"/>
      <c r="O66" s="13"/>
      <c r="P66" s="15"/>
      <c r="Q66" s="17"/>
      <c r="R66" s="40">
        <f t="shared" si="1"/>
        <v>0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68" t="s">
        <v>65</v>
      </c>
      <c r="F67" s="63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/>
      <c r="M67" s="9"/>
      <c r="N67" s="11"/>
      <c r="O67" s="13"/>
      <c r="P67" s="15"/>
      <c r="Q67" s="17"/>
      <c r="R67" s="40">
        <f t="shared" si="1"/>
        <v>0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50" t="s">
        <v>30</v>
      </c>
      <c r="F68" s="46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/>
      <c r="M68" s="9"/>
      <c r="N68" s="11"/>
      <c r="O68" s="13"/>
      <c r="P68" s="15"/>
      <c r="Q68" s="17"/>
      <c r="R68" s="40">
        <f t="shared" si="1"/>
        <v>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50" t="s">
        <v>30</v>
      </c>
      <c r="F69" s="46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/>
      <c r="M69" s="9"/>
      <c r="N69" s="11"/>
      <c r="O69" s="13"/>
      <c r="P69" s="15"/>
      <c r="Q69" s="17"/>
      <c r="R69" s="40">
        <f t="shared" si="1"/>
        <v>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53" t="s">
        <v>41</v>
      </c>
      <c r="F70" s="69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/>
      <c r="M70" s="9"/>
      <c r="N70" s="11"/>
      <c r="O70" s="13"/>
      <c r="P70" s="15"/>
      <c r="Q70" s="17"/>
      <c r="R70" s="40">
        <f t="shared" ref="R70:R133" si="3">SUM(L70:Q70)</f>
        <v>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53" t="s">
        <v>41</v>
      </c>
      <c r="F71" s="69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/>
      <c r="M71" s="9"/>
      <c r="N71" s="11"/>
      <c r="O71" s="13"/>
      <c r="P71" s="15"/>
      <c r="Q71" s="17"/>
      <c r="R71" s="40">
        <f t="shared" si="3"/>
        <v>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70" t="s">
        <v>34</v>
      </c>
      <c r="F72" s="65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/>
      <c r="M72" s="9"/>
      <c r="N72" s="11"/>
      <c r="O72" s="13"/>
      <c r="P72" s="15"/>
      <c r="Q72" s="17"/>
      <c r="R72" s="40">
        <f t="shared" si="3"/>
        <v>0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70" t="s">
        <v>34</v>
      </c>
      <c r="F73" s="65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/>
      <c r="M73" s="9"/>
      <c r="N73" s="11"/>
      <c r="O73" s="13"/>
      <c r="P73" s="15"/>
      <c r="Q73" s="17"/>
      <c r="R73" s="40">
        <f t="shared" si="3"/>
        <v>0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70" t="s">
        <v>34</v>
      </c>
      <c r="F74" s="65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/>
      <c r="M74" s="9"/>
      <c r="N74" s="11"/>
      <c r="O74" s="13"/>
      <c r="P74" s="15"/>
      <c r="Q74" s="17"/>
      <c r="R74" s="40">
        <f t="shared" si="3"/>
        <v>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64" t="s">
        <v>66</v>
      </c>
      <c r="F75" s="46"/>
      <c r="G75" s="1" t="e" vm="34">
        <v>#VALUE!</v>
      </c>
      <c r="H75" s="1" t="s">
        <v>71</v>
      </c>
      <c r="I75" s="1"/>
      <c r="J75" s="1"/>
      <c r="K75" s="1" t="s">
        <v>126</v>
      </c>
      <c r="L75" s="7"/>
      <c r="M75" s="9"/>
      <c r="N75" s="11"/>
      <c r="O75" s="13"/>
      <c r="P75" s="15"/>
      <c r="Q75" s="17"/>
      <c r="R75" s="40">
        <f t="shared" si="3"/>
        <v>0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64" t="s">
        <v>66</v>
      </c>
      <c r="F76" s="46"/>
      <c r="G76" s="1" t="e" vm="34">
        <v>#VALUE!</v>
      </c>
      <c r="H76" s="1" t="s">
        <v>71</v>
      </c>
      <c r="I76" s="1"/>
      <c r="J76" s="1"/>
      <c r="K76" s="1" t="s">
        <v>133</v>
      </c>
      <c r="L76" s="7"/>
      <c r="M76" s="9"/>
      <c r="N76" s="11"/>
      <c r="O76" s="13"/>
      <c r="P76" s="15"/>
      <c r="Q76" s="17"/>
      <c r="R76" s="40">
        <f t="shared" si="3"/>
        <v>0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64" t="s">
        <v>66</v>
      </c>
      <c r="F77" s="46"/>
      <c r="G77" s="1" t="e" vm="34">
        <v>#VALUE!</v>
      </c>
      <c r="H77" s="1" t="s">
        <v>71</v>
      </c>
      <c r="I77" s="1"/>
      <c r="J77" s="1"/>
      <c r="K77" s="1" t="s">
        <v>22</v>
      </c>
      <c r="L77" s="7"/>
      <c r="M77" s="9"/>
      <c r="N77" s="11"/>
      <c r="O77" s="13"/>
      <c r="P77" s="15"/>
      <c r="Q77" s="17"/>
      <c r="R77" s="40">
        <f t="shared" si="3"/>
        <v>0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64" t="s">
        <v>66</v>
      </c>
      <c r="F78" s="60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/>
      <c r="M78" s="9"/>
      <c r="N78" s="11"/>
      <c r="O78" s="13"/>
      <c r="P78" s="15"/>
      <c r="Q78" s="17"/>
      <c r="R78" s="40">
        <f t="shared" si="3"/>
        <v>0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64" t="s">
        <v>66</v>
      </c>
      <c r="F79" s="60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/>
      <c r="M79" s="9"/>
      <c r="N79" s="11"/>
      <c r="O79" s="13"/>
      <c r="P79" s="15"/>
      <c r="Q79" s="17"/>
      <c r="R79" s="40">
        <f t="shared" si="3"/>
        <v>0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71" t="s">
        <v>63</v>
      </c>
      <c r="F80" s="46"/>
      <c r="G80" s="1" t="e" vm="3">
        <v>#VALUE!</v>
      </c>
      <c r="H80" s="1" t="s">
        <v>17</v>
      </c>
      <c r="I80" s="1"/>
      <c r="J80" s="1"/>
      <c r="K80" s="1" t="s">
        <v>136</v>
      </c>
      <c r="L80" s="7"/>
      <c r="M80" s="9"/>
      <c r="N80" s="11"/>
      <c r="O80" s="13"/>
      <c r="P80" s="15"/>
      <c r="Q80" s="17"/>
      <c r="R80" s="40">
        <f t="shared" si="3"/>
        <v>0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71" t="s">
        <v>63</v>
      </c>
      <c r="F81" s="46"/>
      <c r="G81" s="1" t="e" vm="3">
        <v>#VALUE!</v>
      </c>
      <c r="H81" s="1" t="s">
        <v>17</v>
      </c>
      <c r="I81" s="1"/>
      <c r="J81" s="1"/>
      <c r="K81" s="1" t="s">
        <v>22</v>
      </c>
      <c r="L81" s="7"/>
      <c r="M81" s="9"/>
      <c r="N81" s="11"/>
      <c r="O81" s="13"/>
      <c r="P81" s="15"/>
      <c r="Q81" s="17"/>
      <c r="R81" s="40">
        <f t="shared" si="3"/>
        <v>0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50" t="s">
        <v>30</v>
      </c>
      <c r="F82" s="46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/>
      <c r="M82" s="9"/>
      <c r="N82" s="11"/>
      <c r="O82" s="13"/>
      <c r="P82" s="15"/>
      <c r="Q82" s="17"/>
      <c r="R82" s="40">
        <f t="shared" ref="R82:R83" si="4">SUM(L82:Q82)</f>
        <v>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50" t="s">
        <v>30</v>
      </c>
      <c r="F83" s="46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/>
      <c r="M83" s="9"/>
      <c r="N83" s="11"/>
      <c r="O83" s="13"/>
      <c r="P83" s="15"/>
      <c r="Q83" s="17"/>
      <c r="R83" s="40">
        <f t="shared" si="4"/>
        <v>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72" t="s">
        <v>60</v>
      </c>
      <c r="F84" s="46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/>
      <c r="M84" s="9"/>
      <c r="N84" s="11"/>
      <c r="O84" s="13"/>
      <c r="P84" s="15"/>
      <c r="Q84" s="17"/>
      <c r="R84" s="40">
        <f t="shared" si="3"/>
        <v>0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72" t="s">
        <v>60</v>
      </c>
      <c r="F85" s="46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/>
      <c r="M85" s="9"/>
      <c r="N85" s="11"/>
      <c r="O85" s="13"/>
      <c r="P85" s="15"/>
      <c r="Q85" s="17"/>
      <c r="R85" s="40">
        <f t="shared" si="3"/>
        <v>0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50" t="s">
        <v>30</v>
      </c>
      <c r="F86" s="46"/>
      <c r="G86" s="1" t="e" vm="64">
        <v>#VALUE!</v>
      </c>
      <c r="H86" s="1" t="s">
        <v>118</v>
      </c>
      <c r="I86" s="1"/>
      <c r="J86" s="1"/>
      <c r="K86" s="1" t="s">
        <v>145</v>
      </c>
      <c r="L86" s="7"/>
      <c r="M86" s="9"/>
      <c r="N86" s="11"/>
      <c r="O86" s="13"/>
      <c r="P86" s="15"/>
      <c r="Q86" s="17"/>
      <c r="R86" s="40">
        <f t="shared" si="3"/>
        <v>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50" t="s">
        <v>30</v>
      </c>
      <c r="F87" s="46"/>
      <c r="G87" s="1" t="e" vm="64">
        <v>#VALUE!</v>
      </c>
      <c r="H87" s="1" t="s">
        <v>118</v>
      </c>
      <c r="I87" s="1"/>
      <c r="J87" s="1"/>
      <c r="K87" s="1" t="s">
        <v>22</v>
      </c>
      <c r="L87" s="7"/>
      <c r="M87" s="9"/>
      <c r="N87" s="11"/>
      <c r="O87" s="13"/>
      <c r="P87" s="15"/>
      <c r="Q87" s="17"/>
      <c r="R87" s="40">
        <f t="shared" si="3"/>
        <v>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50" t="s">
        <v>30</v>
      </c>
      <c r="F88" s="46"/>
      <c r="G88" s="1" t="e" vm="64">
        <v>#VALUE!</v>
      </c>
      <c r="H88" s="1" t="s">
        <v>118</v>
      </c>
      <c r="I88" s="1"/>
      <c r="J88" s="1"/>
      <c r="K88" s="1" t="s">
        <v>303</v>
      </c>
      <c r="L88" s="7"/>
      <c r="M88" s="9"/>
      <c r="N88" s="11"/>
      <c r="O88" s="13"/>
      <c r="P88" s="15"/>
      <c r="Q88" s="17"/>
      <c r="R88" s="40">
        <f t="shared" si="3"/>
        <v>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50" t="s">
        <v>30</v>
      </c>
      <c r="F89" s="65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/>
      <c r="M89" s="9"/>
      <c r="N89" s="11"/>
      <c r="O89" s="13"/>
      <c r="P89" s="15"/>
      <c r="Q89" s="17"/>
      <c r="R89" s="40">
        <f t="shared" si="3"/>
        <v>0</v>
      </c>
    </row>
    <row r="90" spans="2:18" ht="30" customHeight="1" x14ac:dyDescent="0.25">
      <c r="B90" s="39" t="e" vm="98">
        <v>#VALUE!</v>
      </c>
      <c r="C90" s="5">
        <f t="shared" si="2"/>
        <v>87</v>
      </c>
      <c r="D90" s="1" t="s">
        <v>151</v>
      </c>
      <c r="E90" s="72" t="s">
        <v>60</v>
      </c>
      <c r="F90" s="46"/>
      <c r="G90" s="1" t="e" vm="31">
        <v>#VALUE!</v>
      </c>
      <c r="H90" s="1" t="s">
        <v>60</v>
      </c>
      <c r="I90" s="1"/>
      <c r="J90" s="1"/>
      <c r="K90" s="1" t="s">
        <v>152</v>
      </c>
      <c r="L90" s="7"/>
      <c r="M90" s="9"/>
      <c r="N90" s="11"/>
      <c r="O90" s="13"/>
      <c r="P90" s="15"/>
      <c r="Q90" s="17"/>
      <c r="R90" s="40">
        <f t="shared" si="3"/>
        <v>0</v>
      </c>
    </row>
    <row r="91" spans="2:18" ht="30" customHeight="1" x14ac:dyDescent="0.25">
      <c r="B91" s="39" t="e" vm="99">
        <v>#VALUE!</v>
      </c>
      <c r="C91" s="5">
        <f t="shared" si="2"/>
        <v>88</v>
      </c>
      <c r="D91" s="1" t="s">
        <v>153</v>
      </c>
      <c r="E91" s="72" t="s">
        <v>60</v>
      </c>
      <c r="F91" s="46"/>
      <c r="G91" s="1" t="e" vm="31">
        <v>#VALUE!</v>
      </c>
      <c r="H91" s="1" t="s">
        <v>60</v>
      </c>
      <c r="I91" s="1"/>
      <c r="J91" s="1"/>
      <c r="K91" s="1" t="s">
        <v>154</v>
      </c>
      <c r="L91" s="7"/>
      <c r="M91" s="9"/>
      <c r="N91" s="11"/>
      <c r="O91" s="13"/>
      <c r="P91" s="15"/>
      <c r="Q91" s="17"/>
      <c r="R91" s="40">
        <f t="shared" si="3"/>
        <v>0</v>
      </c>
    </row>
    <row r="92" spans="2:18" ht="30" customHeight="1" x14ac:dyDescent="0.25">
      <c r="B92" s="39" t="e" vm="100">
        <v>#VALUE!</v>
      </c>
      <c r="C92" s="5">
        <f t="shared" si="2"/>
        <v>89</v>
      </c>
      <c r="D92" s="1" t="s">
        <v>155</v>
      </c>
      <c r="E92" s="72" t="s">
        <v>60</v>
      </c>
      <c r="F92" s="46"/>
      <c r="G92" s="1" t="e" vm="31">
        <v>#VALUE!</v>
      </c>
      <c r="H92" s="1" t="s">
        <v>60</v>
      </c>
      <c r="I92" s="1"/>
      <c r="J92" s="1"/>
      <c r="K92" s="1" t="s">
        <v>22</v>
      </c>
      <c r="L92" s="7"/>
      <c r="M92" s="9"/>
      <c r="N92" s="11"/>
      <c r="O92" s="13"/>
      <c r="P92" s="15"/>
      <c r="Q92" s="17"/>
      <c r="R92" s="40">
        <f t="shared" si="3"/>
        <v>0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54" t="s">
        <v>45</v>
      </c>
      <c r="F93" s="69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/>
      <c r="M93" s="9"/>
      <c r="N93" s="11"/>
      <c r="O93" s="13"/>
      <c r="P93" s="15"/>
      <c r="Q93" s="17"/>
      <c r="R93" s="40">
        <f t="shared" si="3"/>
        <v>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54" t="s">
        <v>45</v>
      </c>
      <c r="F94" s="69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/>
      <c r="M94" s="9"/>
      <c r="N94" s="11"/>
      <c r="O94" s="13"/>
      <c r="P94" s="15"/>
      <c r="Q94" s="17"/>
      <c r="R94" s="40">
        <f t="shared" si="3"/>
        <v>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62" t="s">
        <v>67</v>
      </c>
      <c r="F95" s="46"/>
      <c r="G95" s="1" t="e" vm="74">
        <v>#VALUE!</v>
      </c>
      <c r="H95" s="1" t="s">
        <v>114</v>
      </c>
      <c r="I95" s="1"/>
      <c r="J95" s="1"/>
      <c r="K95" s="1" t="s">
        <v>160</v>
      </c>
      <c r="L95" s="7"/>
      <c r="M95" s="9"/>
      <c r="N95" s="11"/>
      <c r="O95" s="13"/>
      <c r="P95" s="15"/>
      <c r="Q95" s="17"/>
      <c r="R95" s="40">
        <f t="shared" si="3"/>
        <v>0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62" t="s">
        <v>67</v>
      </c>
      <c r="F96" s="46"/>
      <c r="G96" s="1" t="e" vm="74">
        <v>#VALUE!</v>
      </c>
      <c r="H96" s="1" t="s">
        <v>114</v>
      </c>
      <c r="I96" s="1"/>
      <c r="J96" s="1"/>
      <c r="K96" s="1" t="s">
        <v>162</v>
      </c>
      <c r="L96" s="7"/>
      <c r="M96" s="9"/>
      <c r="N96" s="11"/>
      <c r="O96" s="13"/>
      <c r="P96" s="15"/>
      <c r="Q96" s="17"/>
      <c r="R96" s="40">
        <f t="shared" si="3"/>
        <v>0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62" t="s">
        <v>67</v>
      </c>
      <c r="F97" s="46"/>
      <c r="G97" s="1" t="e" vm="74">
        <v>#VALUE!</v>
      </c>
      <c r="H97" s="1" t="s">
        <v>114</v>
      </c>
      <c r="I97" s="1"/>
      <c r="J97" s="1"/>
      <c r="K97" s="1" t="s">
        <v>22</v>
      </c>
      <c r="L97" s="7"/>
      <c r="M97" s="9"/>
      <c r="N97" s="11"/>
      <c r="O97" s="13"/>
      <c r="P97" s="15"/>
      <c r="Q97" s="17"/>
      <c r="R97" s="40">
        <f t="shared" si="3"/>
        <v>0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73" t="s">
        <v>48</v>
      </c>
      <c r="F98" s="67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/>
      <c r="M98" s="9"/>
      <c r="N98" s="11"/>
      <c r="O98" s="13"/>
      <c r="P98" s="15"/>
      <c r="Q98" s="17"/>
      <c r="R98" s="40">
        <f t="shared" si="3"/>
        <v>0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73" t="s">
        <v>48</v>
      </c>
      <c r="F99" s="67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/>
      <c r="M99" s="9"/>
      <c r="N99" s="11"/>
      <c r="O99" s="13"/>
      <c r="P99" s="15"/>
      <c r="Q99" s="17"/>
      <c r="R99" s="40">
        <f t="shared" si="3"/>
        <v>0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57" t="s">
        <v>27</v>
      </c>
      <c r="F100" s="46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/>
      <c r="M100" s="9"/>
      <c r="N100" s="11"/>
      <c r="O100" s="13"/>
      <c r="P100" s="15"/>
      <c r="Q100" s="17"/>
      <c r="R100" s="40">
        <f t="shared" si="3"/>
        <v>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57" t="s">
        <v>27</v>
      </c>
      <c r="F101" s="46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/>
      <c r="M101" s="9"/>
      <c r="N101" s="11"/>
      <c r="O101" s="13"/>
      <c r="P101" s="15"/>
      <c r="Q101" s="17"/>
      <c r="R101" s="40">
        <f t="shared" si="3"/>
        <v>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50" t="s">
        <v>30</v>
      </c>
      <c r="F102" s="46"/>
      <c r="G102" s="1" t="e" vm="102">
        <v>#VALUE!</v>
      </c>
      <c r="H102" s="1" t="s">
        <v>157</v>
      </c>
      <c r="I102" s="1"/>
      <c r="J102" s="1"/>
      <c r="K102" s="1" t="s">
        <v>170</v>
      </c>
      <c r="L102" s="7"/>
      <c r="M102" s="9"/>
      <c r="N102" s="11"/>
      <c r="O102" s="13"/>
      <c r="P102" s="15"/>
      <c r="Q102" s="17"/>
      <c r="R102" s="40">
        <f t="shared" si="3"/>
        <v>0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50" t="s">
        <v>30</v>
      </c>
      <c r="F103" s="74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/>
      <c r="M103" s="9"/>
      <c r="N103" s="11"/>
      <c r="O103" s="13"/>
      <c r="P103" s="15"/>
      <c r="Q103" s="17"/>
      <c r="R103" s="40">
        <f t="shared" si="3"/>
        <v>0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50" t="s">
        <v>30</v>
      </c>
      <c r="F104" s="46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/>
      <c r="M104" s="9"/>
      <c r="N104" s="11"/>
      <c r="O104" s="13"/>
      <c r="P104" s="15"/>
      <c r="Q104" s="17"/>
      <c r="R104" s="40">
        <f t="shared" si="3"/>
        <v>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50" t="s">
        <v>30</v>
      </c>
      <c r="F105" s="46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/>
      <c r="M105" s="9"/>
      <c r="N105" s="11"/>
      <c r="O105" s="13"/>
      <c r="P105" s="15"/>
      <c r="Q105" s="17"/>
      <c r="R105" s="40">
        <f t="shared" si="3"/>
        <v>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58" t="s">
        <v>68</v>
      </c>
      <c r="F106" s="69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/>
      <c r="M106" s="9"/>
      <c r="N106" s="11"/>
      <c r="O106" s="13"/>
      <c r="P106" s="15"/>
      <c r="Q106" s="17"/>
      <c r="R106" s="40">
        <f t="shared" si="3"/>
        <v>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58" t="s">
        <v>68</v>
      </c>
      <c r="F107" s="61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/>
      <c r="M107" s="9"/>
      <c r="N107" s="11"/>
      <c r="O107" s="13"/>
      <c r="P107" s="15"/>
      <c r="Q107" s="17"/>
      <c r="R107" s="40">
        <f t="shared" si="3"/>
        <v>0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56" t="s">
        <v>50</v>
      </c>
      <c r="F108" s="46"/>
      <c r="G108" s="1" t="e" vm="3">
        <v>#VALUE!</v>
      </c>
      <c r="H108" s="1" t="s">
        <v>17</v>
      </c>
      <c r="I108" s="1"/>
      <c r="J108" s="1"/>
      <c r="K108" s="1" t="s">
        <v>179</v>
      </c>
      <c r="L108" s="7"/>
      <c r="M108" s="9"/>
      <c r="N108" s="11"/>
      <c r="O108" s="13"/>
      <c r="P108" s="15"/>
      <c r="Q108" s="17"/>
      <c r="R108" s="40">
        <f t="shared" si="3"/>
        <v>0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56" t="s">
        <v>50</v>
      </c>
      <c r="F109" s="55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/>
      <c r="M109" s="9"/>
      <c r="N109" s="11"/>
      <c r="O109" s="13"/>
      <c r="P109" s="15"/>
      <c r="Q109" s="17"/>
      <c r="R109" s="40">
        <f t="shared" si="3"/>
        <v>0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56" t="s">
        <v>50</v>
      </c>
      <c r="F110" s="55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/>
      <c r="M110" s="9"/>
      <c r="N110" s="11"/>
      <c r="O110" s="13"/>
      <c r="P110" s="15"/>
      <c r="Q110" s="17"/>
      <c r="R110" s="40">
        <f t="shared" si="3"/>
        <v>0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56" t="s">
        <v>50</v>
      </c>
      <c r="F111" s="46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/>
      <c r="M111" s="9"/>
      <c r="N111" s="11"/>
      <c r="O111" s="13"/>
      <c r="P111" s="15"/>
      <c r="Q111" s="17"/>
      <c r="R111" s="40">
        <f t="shared" si="3"/>
        <v>0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56" t="s">
        <v>50</v>
      </c>
      <c r="F112" s="46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/>
      <c r="M112" s="9"/>
      <c r="N112" s="11"/>
      <c r="O112" s="13"/>
      <c r="P112" s="15"/>
      <c r="Q112" s="17"/>
      <c r="R112" s="40">
        <f t="shared" si="3"/>
        <v>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73" t="s">
        <v>48</v>
      </c>
      <c r="F113" s="49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/>
      <c r="M113" s="9"/>
      <c r="N113" s="11"/>
      <c r="O113" s="13"/>
      <c r="P113" s="15"/>
      <c r="Q113" s="17"/>
      <c r="R113" s="40">
        <f t="shared" si="3"/>
        <v>0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73" t="s">
        <v>48</v>
      </c>
      <c r="F114" s="49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/>
      <c r="M114" s="9"/>
      <c r="N114" s="11"/>
      <c r="O114" s="13"/>
      <c r="P114" s="15"/>
      <c r="Q114" s="17"/>
      <c r="R114" s="40">
        <f t="shared" si="3"/>
        <v>0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68" t="s">
        <v>65</v>
      </c>
      <c r="F115" s="75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/>
      <c r="M115" s="9"/>
      <c r="N115" s="11"/>
      <c r="O115" s="13"/>
      <c r="P115" s="15"/>
      <c r="Q115" s="17"/>
      <c r="R115" s="40">
        <f t="shared" si="3"/>
        <v>0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68" t="s">
        <v>65</v>
      </c>
      <c r="F116" s="75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/>
      <c r="M116" s="9"/>
      <c r="N116" s="11"/>
      <c r="O116" s="13"/>
      <c r="P116" s="15"/>
      <c r="Q116" s="17"/>
      <c r="R116" s="40">
        <f t="shared" si="3"/>
        <v>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68" t="s">
        <v>65</v>
      </c>
      <c r="F117" s="75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/>
      <c r="M117" s="9"/>
      <c r="N117" s="11"/>
      <c r="O117" s="13"/>
      <c r="P117" s="15"/>
      <c r="Q117" s="17"/>
      <c r="R117" s="40">
        <f t="shared" si="3"/>
        <v>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54" t="s">
        <v>45</v>
      </c>
      <c r="F118" s="76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/>
      <c r="M118" s="9"/>
      <c r="N118" s="11"/>
      <c r="O118" s="13"/>
      <c r="P118" s="15"/>
      <c r="Q118" s="17"/>
      <c r="R118" s="40">
        <f t="shared" si="3"/>
        <v>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54" t="s">
        <v>45</v>
      </c>
      <c r="F119" s="76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/>
      <c r="M119" s="9"/>
      <c r="N119" s="11"/>
      <c r="O119" s="13"/>
      <c r="P119" s="15"/>
      <c r="Q119" s="17"/>
      <c r="R119" s="40">
        <f t="shared" si="3"/>
        <v>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54" t="s">
        <v>45</v>
      </c>
      <c r="F120" s="76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/>
      <c r="M120" s="9"/>
      <c r="N120" s="11"/>
      <c r="O120" s="13"/>
      <c r="P120" s="15"/>
      <c r="Q120" s="17"/>
      <c r="R120" s="40">
        <f t="shared" si="3"/>
        <v>0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54" t="s">
        <v>45</v>
      </c>
      <c r="F121" s="46"/>
      <c r="G121" s="1" t="e" vm="21">
        <v>#VALUE!</v>
      </c>
      <c r="H121" s="1" t="s">
        <v>45</v>
      </c>
      <c r="I121" s="1"/>
      <c r="J121" s="1"/>
      <c r="K121" s="1" t="s">
        <v>119</v>
      </c>
      <c r="L121" s="7"/>
      <c r="M121" s="9"/>
      <c r="N121" s="11"/>
      <c r="O121" s="13"/>
      <c r="P121" s="15"/>
      <c r="Q121" s="17"/>
      <c r="R121" s="40">
        <f t="shared" si="3"/>
        <v>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54" t="s">
        <v>45</v>
      </c>
      <c r="F122" s="77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/>
      <c r="M122" s="9"/>
      <c r="N122" s="11"/>
      <c r="O122" s="13"/>
      <c r="P122" s="15"/>
      <c r="Q122" s="17"/>
      <c r="R122" s="40">
        <f t="shared" si="3"/>
        <v>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54" t="s">
        <v>45</v>
      </c>
      <c r="F123" s="77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/>
      <c r="M123" s="9"/>
      <c r="N123" s="11"/>
      <c r="O123" s="13"/>
      <c r="P123" s="15"/>
      <c r="Q123" s="17"/>
      <c r="R123" s="40">
        <f t="shared" si="3"/>
        <v>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45" t="s">
        <v>16</v>
      </c>
      <c r="F124" s="75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/>
      <c r="M124" s="9"/>
      <c r="N124" s="11"/>
      <c r="O124" s="13"/>
      <c r="P124" s="15"/>
      <c r="Q124" s="17"/>
      <c r="R124" s="40">
        <f t="shared" si="3"/>
        <v>0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45" t="s">
        <v>16</v>
      </c>
      <c r="F125" s="75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/>
      <c r="M125" s="9"/>
      <c r="N125" s="11"/>
      <c r="O125" s="13"/>
      <c r="P125" s="15"/>
      <c r="Q125" s="17"/>
      <c r="R125" s="40">
        <f t="shared" si="3"/>
        <v>0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71" t="s">
        <v>63</v>
      </c>
      <c r="F126" s="46"/>
      <c r="G126" s="1" t="e" vm="17">
        <v>#VALUE!</v>
      </c>
      <c r="H126" s="1" t="s">
        <v>41</v>
      </c>
      <c r="I126" s="1"/>
      <c r="J126" s="1"/>
      <c r="K126" s="1" t="s">
        <v>126</v>
      </c>
      <c r="L126" s="7"/>
      <c r="M126" s="9"/>
      <c r="N126" s="11"/>
      <c r="O126" s="13"/>
      <c r="P126" s="15"/>
      <c r="Q126" s="17"/>
      <c r="R126" s="40">
        <f t="shared" si="3"/>
        <v>0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71" t="s">
        <v>63</v>
      </c>
      <c r="F127" s="46"/>
      <c r="G127" s="1" t="e" vm="17">
        <v>#VALUE!</v>
      </c>
      <c r="H127" s="1" t="s">
        <v>41</v>
      </c>
      <c r="I127" s="1"/>
      <c r="J127" s="1"/>
      <c r="K127" s="1" t="s">
        <v>22</v>
      </c>
      <c r="L127" s="7"/>
      <c r="M127" s="9"/>
      <c r="N127" s="11"/>
      <c r="O127" s="13"/>
      <c r="P127" s="15"/>
      <c r="Q127" s="17"/>
      <c r="R127" s="40">
        <f t="shared" si="3"/>
        <v>0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56" t="s">
        <v>50</v>
      </c>
      <c r="F128" s="66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/>
      <c r="M128" s="9"/>
      <c r="N128" s="11"/>
      <c r="O128" s="13"/>
      <c r="P128" s="15"/>
      <c r="Q128" s="17"/>
      <c r="R128" s="40">
        <f t="shared" si="3"/>
        <v>0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56" t="s">
        <v>50</v>
      </c>
      <c r="F129" s="66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/>
      <c r="M129" s="9"/>
      <c r="N129" s="11"/>
      <c r="O129" s="13"/>
      <c r="P129" s="15"/>
      <c r="Q129" s="17"/>
      <c r="R129" s="40">
        <f t="shared" si="3"/>
        <v>0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56" t="s">
        <v>50</v>
      </c>
      <c r="F130" s="66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/>
      <c r="M130" s="9"/>
      <c r="N130" s="11"/>
      <c r="O130" s="13"/>
      <c r="P130" s="15"/>
      <c r="Q130" s="17"/>
      <c r="R130" s="40">
        <f t="shared" si="3"/>
        <v>0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50" t="s">
        <v>30</v>
      </c>
      <c r="F131" s="77" t="s">
        <v>67</v>
      </c>
      <c r="G131" s="1" t="e" vm="64">
        <v>#VALUE!</v>
      </c>
      <c r="H131" s="1" t="s">
        <v>118</v>
      </c>
      <c r="K131" s="1" t="s">
        <v>207</v>
      </c>
      <c r="L131" s="7"/>
      <c r="M131" s="9"/>
      <c r="N131" s="11"/>
      <c r="O131" s="13"/>
      <c r="P131" s="15"/>
      <c r="Q131" s="17"/>
      <c r="R131" s="40">
        <f t="shared" si="3"/>
        <v>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50" t="s">
        <v>30</v>
      </c>
      <c r="F132" s="77" t="s">
        <v>67</v>
      </c>
      <c r="G132" s="1" t="e" vm="64">
        <v>#VALUE!</v>
      </c>
      <c r="H132" s="1" t="s">
        <v>118</v>
      </c>
      <c r="K132" s="1" t="s">
        <v>22</v>
      </c>
      <c r="L132" s="7"/>
      <c r="M132" s="9"/>
      <c r="N132" s="11"/>
      <c r="O132" s="13"/>
      <c r="P132" s="15"/>
      <c r="Q132" s="17"/>
      <c r="R132" s="40">
        <f t="shared" si="3"/>
        <v>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56" t="s">
        <v>50</v>
      </c>
      <c r="F133" s="46"/>
      <c r="G133" s="1" t="e" vm="3">
        <v>#VALUE!</v>
      </c>
      <c r="H133" s="1" t="s">
        <v>17</v>
      </c>
      <c r="I133" s="1"/>
      <c r="J133" s="1"/>
      <c r="K133" s="1" t="s">
        <v>208</v>
      </c>
      <c r="L133" s="7"/>
      <c r="M133" s="9"/>
      <c r="N133" s="11"/>
      <c r="O133" s="13"/>
      <c r="P133" s="15"/>
      <c r="Q133" s="17"/>
      <c r="R133" s="40">
        <f t="shared" si="3"/>
        <v>0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56" t="s">
        <v>50</v>
      </c>
      <c r="F134" s="51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/>
      <c r="M134" s="9"/>
      <c r="N134" s="11"/>
      <c r="O134" s="13"/>
      <c r="P134" s="15"/>
      <c r="Q134" s="17"/>
      <c r="R134" s="40">
        <f t="shared" ref="R134:R197" si="6">SUM(L134:Q134)</f>
        <v>0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41" t="s">
        <v>64</v>
      </c>
      <c r="F135" s="78"/>
      <c r="G135" s="1" t="e" vm="34">
        <v>#VALUE!</v>
      </c>
      <c r="H135" s="1" t="s">
        <v>71</v>
      </c>
      <c r="I135" s="1"/>
      <c r="J135" s="1"/>
      <c r="K135" s="1" t="s">
        <v>42</v>
      </c>
      <c r="L135" s="7"/>
      <c r="M135" s="9"/>
      <c r="N135" s="11"/>
      <c r="O135" s="13"/>
      <c r="P135" s="15"/>
      <c r="Q135" s="17"/>
      <c r="R135" s="40">
        <f t="shared" si="6"/>
        <v>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41" t="s">
        <v>64</v>
      </c>
      <c r="F136" s="75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/>
      <c r="M136" s="9"/>
      <c r="N136" s="11"/>
      <c r="O136" s="13"/>
      <c r="P136" s="15"/>
      <c r="Q136" s="17"/>
      <c r="R136" s="40">
        <f t="shared" si="6"/>
        <v>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41" t="s">
        <v>64</v>
      </c>
      <c r="F137" s="75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/>
      <c r="M137" s="9"/>
      <c r="N137" s="11"/>
      <c r="O137" s="13"/>
      <c r="P137" s="15"/>
      <c r="Q137" s="17"/>
      <c r="R137" s="40">
        <f t="shared" si="6"/>
        <v>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70" t="s">
        <v>34</v>
      </c>
      <c r="F138" s="66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/>
      <c r="M138" s="9"/>
      <c r="N138" s="11"/>
      <c r="O138" s="13"/>
      <c r="P138" s="15"/>
      <c r="Q138" s="17"/>
      <c r="R138" s="40">
        <f t="shared" si="6"/>
        <v>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70" t="s">
        <v>34</v>
      </c>
      <c r="F139" s="66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/>
      <c r="M139" s="9"/>
      <c r="N139" s="11"/>
      <c r="O139" s="13"/>
      <c r="P139" s="15"/>
      <c r="Q139" s="17"/>
      <c r="R139" s="40">
        <f t="shared" si="6"/>
        <v>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70" t="s">
        <v>34</v>
      </c>
      <c r="F140" s="66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/>
      <c r="M140" s="9"/>
      <c r="N140" s="11"/>
      <c r="O140" s="13"/>
      <c r="P140" s="15"/>
      <c r="Q140" s="17"/>
      <c r="R140" s="40">
        <f t="shared" si="6"/>
        <v>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72" t="s">
        <v>60</v>
      </c>
      <c r="F141" s="51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/>
      <c r="M141" s="9"/>
      <c r="N141" s="11"/>
      <c r="O141" s="13"/>
      <c r="P141" s="15"/>
      <c r="Q141" s="17"/>
      <c r="R141" s="40">
        <f t="shared" si="6"/>
        <v>0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72" t="s">
        <v>60</v>
      </c>
      <c r="F142" s="51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/>
      <c r="M142" s="9"/>
      <c r="N142" s="11"/>
      <c r="O142" s="13"/>
      <c r="P142" s="15"/>
      <c r="Q142" s="17"/>
      <c r="R142" s="40">
        <f t="shared" si="6"/>
        <v>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72" t="s">
        <v>60</v>
      </c>
      <c r="F143" s="51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/>
      <c r="M143" s="9"/>
      <c r="N143" s="11"/>
      <c r="O143" s="13"/>
      <c r="P143" s="15"/>
      <c r="Q143" s="17"/>
      <c r="R143" s="40">
        <f t="shared" si="6"/>
        <v>0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41" t="s">
        <v>64</v>
      </c>
      <c r="F144" s="42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/>
      <c r="M144" s="9"/>
      <c r="N144" s="11"/>
      <c r="O144" s="13"/>
      <c r="P144" s="15"/>
      <c r="Q144" s="17"/>
      <c r="R144" s="40">
        <f t="shared" si="6"/>
        <v>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58" t="s">
        <v>68</v>
      </c>
      <c r="F145" s="69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/>
      <c r="M145" s="9"/>
      <c r="N145" s="11"/>
      <c r="O145" s="13"/>
      <c r="P145" s="15"/>
      <c r="Q145" s="17"/>
      <c r="R145" s="40">
        <f t="shared" si="6"/>
        <v>0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58" t="s">
        <v>68</v>
      </c>
      <c r="F146" s="69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/>
      <c r="M146" s="9"/>
      <c r="N146" s="11"/>
      <c r="O146" s="13"/>
      <c r="P146" s="15"/>
      <c r="Q146" s="17"/>
      <c r="R146" s="40">
        <f t="shared" si="6"/>
        <v>0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58" t="s">
        <v>68</v>
      </c>
      <c r="F147" s="75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79" t="s">
        <v>224</v>
      </c>
      <c r="L147" s="7"/>
      <c r="M147" s="9"/>
      <c r="N147" s="11"/>
      <c r="O147" s="13"/>
      <c r="P147" s="15"/>
      <c r="Q147" s="17"/>
      <c r="R147" s="40">
        <f t="shared" si="6"/>
        <v>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58" t="s">
        <v>68</v>
      </c>
      <c r="F148" s="75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/>
      <c r="M148" s="9"/>
      <c r="N148" s="11"/>
      <c r="O148" s="13"/>
      <c r="P148" s="15"/>
      <c r="Q148" s="17"/>
      <c r="R148" s="40">
        <f t="shared" si="6"/>
        <v>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56" t="s">
        <v>50</v>
      </c>
      <c r="F149" s="65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/>
      <c r="M149" s="9"/>
      <c r="N149" s="11"/>
      <c r="O149" s="13"/>
      <c r="P149" s="15"/>
      <c r="Q149" s="17"/>
      <c r="R149" s="40">
        <f t="shared" si="6"/>
        <v>0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56" t="s">
        <v>50</v>
      </c>
      <c r="F150" s="65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/>
      <c r="M150" s="9"/>
      <c r="N150" s="11"/>
      <c r="O150" s="13"/>
      <c r="P150" s="15"/>
      <c r="Q150" s="17"/>
      <c r="R150" s="40">
        <f t="shared" si="6"/>
        <v>0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73" t="s">
        <v>48</v>
      </c>
      <c r="F151" s="51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/>
      <c r="M151" s="9"/>
      <c r="N151" s="11"/>
      <c r="O151" s="13"/>
      <c r="P151" s="15"/>
      <c r="Q151" s="17"/>
      <c r="R151" s="40">
        <f t="shared" si="6"/>
        <v>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73" t="s">
        <v>48</v>
      </c>
      <c r="F152" s="51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/>
      <c r="M152" s="9"/>
      <c r="N152" s="11"/>
      <c r="O152" s="13"/>
      <c r="P152" s="15"/>
      <c r="Q152" s="17"/>
      <c r="R152" s="40">
        <f t="shared" si="6"/>
        <v>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73" t="s">
        <v>48</v>
      </c>
      <c r="F153" s="51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/>
      <c r="M153" s="9"/>
      <c r="N153" s="11"/>
      <c r="O153" s="13"/>
      <c r="P153" s="15"/>
      <c r="Q153" s="17"/>
      <c r="R153" s="40">
        <f t="shared" si="6"/>
        <v>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68" t="s">
        <v>65</v>
      </c>
      <c r="F154" s="46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/>
      <c r="M154" s="9"/>
      <c r="N154" s="11"/>
      <c r="O154" s="13"/>
      <c r="P154" s="15"/>
      <c r="Q154" s="17"/>
      <c r="R154" s="40">
        <f t="shared" si="6"/>
        <v>0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68" t="s">
        <v>65</v>
      </c>
      <c r="F155" s="46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/>
      <c r="M155" s="9"/>
      <c r="N155" s="11"/>
      <c r="O155" s="13"/>
      <c r="P155" s="15"/>
      <c r="Q155" s="17"/>
      <c r="R155" s="40">
        <f t="shared" si="6"/>
        <v>0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68" t="s">
        <v>65</v>
      </c>
      <c r="F156" s="80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/>
      <c r="M156" s="9"/>
      <c r="N156" s="11"/>
      <c r="O156" s="13"/>
      <c r="P156" s="15"/>
      <c r="Q156" s="17"/>
      <c r="R156" s="40">
        <f t="shared" si="6"/>
        <v>0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50" t="s">
        <v>30</v>
      </c>
      <c r="F157" s="74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/>
      <c r="M157" s="9"/>
      <c r="N157" s="11"/>
      <c r="O157" s="13"/>
      <c r="P157" s="15"/>
      <c r="Q157" s="17"/>
      <c r="R157" s="40">
        <f t="shared" si="6"/>
        <v>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50" t="s">
        <v>30</v>
      </c>
      <c r="F158" s="74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/>
      <c r="M158" s="9"/>
      <c r="N158" s="11"/>
      <c r="O158" s="13"/>
      <c r="P158" s="15"/>
      <c r="Q158" s="17"/>
      <c r="R158" s="40">
        <f t="shared" si="6"/>
        <v>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50" t="s">
        <v>30</v>
      </c>
      <c r="F159" s="74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/>
      <c r="M159" s="9"/>
      <c r="N159" s="11"/>
      <c r="O159" s="13"/>
      <c r="P159" s="15"/>
      <c r="Q159" s="17"/>
      <c r="R159" s="40">
        <f t="shared" si="6"/>
        <v>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57" t="s">
        <v>27</v>
      </c>
      <c r="F160" s="46"/>
      <c r="G160" s="1" t="e" vm="102">
        <v>#VALUE!</v>
      </c>
      <c r="H160" s="1" t="s">
        <v>157</v>
      </c>
      <c r="I160" s="1"/>
      <c r="J160" s="1"/>
      <c r="K160" s="1" t="s">
        <v>243</v>
      </c>
      <c r="L160" s="7"/>
      <c r="M160" s="9"/>
      <c r="N160" s="11"/>
      <c r="O160" s="13"/>
      <c r="P160" s="15"/>
      <c r="Q160" s="17"/>
      <c r="R160" s="40">
        <f t="shared" si="6"/>
        <v>0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57" t="s">
        <v>27</v>
      </c>
      <c r="F161" s="74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/>
      <c r="M161" s="9"/>
      <c r="N161" s="11"/>
      <c r="O161" s="13"/>
      <c r="P161" s="15"/>
      <c r="Q161" s="17"/>
      <c r="R161" s="40">
        <f t="shared" si="6"/>
        <v>0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62" t="s">
        <v>67</v>
      </c>
      <c r="F162" s="59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/>
      <c r="M162" s="9"/>
      <c r="N162" s="11"/>
      <c r="O162" s="13"/>
      <c r="P162" s="15"/>
      <c r="Q162" s="17"/>
      <c r="R162" s="40">
        <f t="shared" si="6"/>
        <v>0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62" t="s">
        <v>67</v>
      </c>
      <c r="F163" s="59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/>
      <c r="M163" s="9"/>
      <c r="N163" s="11"/>
      <c r="O163" s="13"/>
      <c r="P163" s="15"/>
      <c r="Q163" s="17"/>
      <c r="R163" s="40">
        <f t="shared" si="6"/>
        <v>0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50" t="s">
        <v>30</v>
      </c>
      <c r="F164" s="46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/>
      <c r="M164" s="9"/>
      <c r="N164" s="11"/>
      <c r="O164" s="13"/>
      <c r="P164" s="15"/>
      <c r="Q164" s="17"/>
      <c r="R164" s="40">
        <f t="shared" si="6"/>
        <v>0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50" t="s">
        <v>30</v>
      </c>
      <c r="F165" s="78"/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/>
      <c r="M165" s="9"/>
      <c r="N165" s="11"/>
      <c r="O165" s="13"/>
      <c r="P165" s="15"/>
      <c r="Q165" s="17"/>
      <c r="R165" s="40">
        <f t="shared" si="6"/>
        <v>0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50" t="s">
        <v>30</v>
      </c>
      <c r="F166" s="65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/>
      <c r="M166" s="9"/>
      <c r="N166" s="11"/>
      <c r="O166" s="13"/>
      <c r="P166" s="15"/>
      <c r="Q166" s="17"/>
      <c r="R166" s="40">
        <f t="shared" si="6"/>
        <v>0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50" t="s">
        <v>30</v>
      </c>
      <c r="F167" s="65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/>
      <c r="M167" s="9"/>
      <c r="N167" s="11"/>
      <c r="O167" s="13"/>
      <c r="P167" s="15"/>
      <c r="Q167" s="17"/>
      <c r="R167" s="40">
        <f t="shared" si="6"/>
        <v>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50" t="s">
        <v>30</v>
      </c>
      <c r="F168" s="46"/>
      <c r="G168" s="1" t="e" vm="102">
        <v>#VALUE!</v>
      </c>
      <c r="H168" s="1" t="s">
        <v>157</v>
      </c>
      <c r="I168" s="1"/>
      <c r="J168" s="1"/>
      <c r="K168" s="1" t="s">
        <v>170</v>
      </c>
      <c r="L168" s="7"/>
      <c r="M168" s="9"/>
      <c r="N168" s="11"/>
      <c r="O168" s="13"/>
      <c r="P168" s="15"/>
      <c r="Q168" s="17"/>
      <c r="R168" s="40">
        <f t="shared" si="6"/>
        <v>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50" t="s">
        <v>30</v>
      </c>
      <c r="F169" s="67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/>
      <c r="M169" s="9"/>
      <c r="N169" s="11"/>
      <c r="O169" s="13"/>
      <c r="P169" s="15"/>
      <c r="Q169" s="17"/>
      <c r="R169" s="40">
        <f t="shared" si="6"/>
        <v>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41" t="s">
        <v>64</v>
      </c>
      <c r="F170" s="83" t="s">
        <v>50</v>
      </c>
      <c r="G170" s="1" t="e" vm="138">
        <v>#VALUE!</v>
      </c>
      <c r="H170" s="1" t="s">
        <v>202</v>
      </c>
      <c r="K170" s="1" t="s">
        <v>83</v>
      </c>
      <c r="L170" s="7"/>
      <c r="M170" s="9"/>
      <c r="N170" s="11"/>
      <c r="O170" s="13"/>
      <c r="P170" s="15"/>
      <c r="Q170" s="17"/>
      <c r="R170" s="40">
        <f t="shared" si="6"/>
        <v>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41" t="s">
        <v>64</v>
      </c>
      <c r="F171" s="83" t="s">
        <v>50</v>
      </c>
      <c r="G171" s="1" t="e" vm="138">
        <v>#VALUE!</v>
      </c>
      <c r="H171" s="1" t="s">
        <v>202</v>
      </c>
      <c r="K171" s="1" t="s">
        <v>252</v>
      </c>
      <c r="L171" s="7"/>
      <c r="M171" s="9"/>
      <c r="N171" s="11"/>
      <c r="O171" s="13"/>
      <c r="P171" s="15"/>
      <c r="Q171" s="17"/>
      <c r="R171" s="40">
        <f t="shared" si="6"/>
        <v>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41" t="s">
        <v>64</v>
      </c>
      <c r="F172" s="55" t="s">
        <v>48</v>
      </c>
      <c r="G172" s="1" t="e" vm="138">
        <v>#VALUE!</v>
      </c>
      <c r="H172" s="1" t="s">
        <v>202</v>
      </c>
      <c r="K172" s="1" t="s">
        <v>22</v>
      </c>
      <c r="L172" s="7"/>
      <c r="M172" s="9"/>
      <c r="N172" s="11"/>
      <c r="O172" s="13"/>
      <c r="P172" s="15"/>
      <c r="Q172" s="17"/>
      <c r="R172" s="40">
        <f t="shared" si="6"/>
        <v>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70" t="s">
        <v>34</v>
      </c>
      <c r="F173" s="46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/>
      <c r="M173" s="9"/>
      <c r="N173" s="11"/>
      <c r="O173" s="13"/>
      <c r="P173" s="15"/>
      <c r="Q173" s="17"/>
      <c r="R173" s="40">
        <f t="shared" si="6"/>
        <v>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70" t="s">
        <v>34</v>
      </c>
      <c r="F174" s="46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/>
      <c r="M174" s="9"/>
      <c r="N174" s="11"/>
      <c r="O174" s="13"/>
      <c r="P174" s="15"/>
      <c r="Q174" s="17"/>
      <c r="R174" s="40">
        <f t="shared" si="6"/>
        <v>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73" t="s">
        <v>48</v>
      </c>
      <c r="F175" s="48"/>
      <c r="G175" s="1" t="e" vm="3">
        <v>#VALUE!</v>
      </c>
      <c r="H175" s="1" t="s">
        <v>17</v>
      </c>
      <c r="K175" s="1" t="s">
        <v>22</v>
      </c>
      <c r="L175" s="7"/>
      <c r="M175" s="9"/>
      <c r="N175" s="11"/>
      <c r="O175" s="13"/>
      <c r="P175" s="15"/>
      <c r="Q175" s="17"/>
      <c r="R175" s="40">
        <f t="shared" si="6"/>
        <v>0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72" t="s">
        <v>60</v>
      </c>
      <c r="F176" s="48"/>
      <c r="G176" s="1" t="e" vm="2">
        <v>#VALUE!</v>
      </c>
      <c r="H176" s="1" t="s">
        <v>16</v>
      </c>
      <c r="K176" s="1" t="s">
        <v>22</v>
      </c>
      <c r="L176" s="7"/>
      <c r="M176" s="9"/>
      <c r="N176" s="11"/>
      <c r="O176" s="13"/>
      <c r="P176" s="15"/>
      <c r="Q176" s="17"/>
      <c r="R176" s="40">
        <f t="shared" si="6"/>
        <v>0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81" t="s">
        <v>69</v>
      </c>
      <c r="F177" s="46"/>
      <c r="G177" s="1" t="e" vm="49">
        <v>#VALUE!</v>
      </c>
      <c r="H177" s="1" t="s">
        <v>69</v>
      </c>
      <c r="I177" s="1"/>
      <c r="J177" s="1"/>
      <c r="K177" s="1" t="s">
        <v>126</v>
      </c>
      <c r="L177" s="7"/>
      <c r="M177" s="9"/>
      <c r="N177" s="11"/>
      <c r="O177" s="13"/>
      <c r="P177" s="15"/>
      <c r="Q177" s="17"/>
      <c r="R177" s="40">
        <f t="shared" si="6"/>
        <v>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81" t="s">
        <v>69</v>
      </c>
      <c r="F178" s="49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/>
      <c r="M178" s="9"/>
      <c r="N178" s="11"/>
      <c r="O178" s="13"/>
      <c r="P178" s="15"/>
      <c r="Q178" s="17"/>
      <c r="R178" s="40">
        <f t="shared" si="6"/>
        <v>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81" t="s">
        <v>69</v>
      </c>
      <c r="F179" s="49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/>
      <c r="M179" s="9"/>
      <c r="N179" s="11"/>
      <c r="O179" s="13"/>
      <c r="P179" s="15"/>
      <c r="Q179" s="17"/>
      <c r="R179" s="40">
        <f t="shared" si="6"/>
        <v>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58" t="s">
        <v>68</v>
      </c>
      <c r="F180" s="48"/>
      <c r="G180" s="1" t="e" vm="34">
        <v>#VALUE!</v>
      </c>
      <c r="H180" s="1" t="s">
        <v>71</v>
      </c>
      <c r="K180" s="1" t="s">
        <v>20</v>
      </c>
      <c r="L180" s="7"/>
      <c r="M180" s="9"/>
      <c r="N180" s="11"/>
      <c r="O180" s="13"/>
      <c r="P180" s="15"/>
      <c r="Q180" s="17"/>
      <c r="R180" s="40">
        <f t="shared" si="6"/>
        <v>0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58" t="s">
        <v>68</v>
      </c>
      <c r="F181" s="48"/>
      <c r="G181" s="1" t="e" vm="34">
        <v>#VALUE!</v>
      </c>
      <c r="H181" s="1" t="s">
        <v>71</v>
      </c>
      <c r="K181" s="1" t="s">
        <v>22</v>
      </c>
      <c r="L181" s="7"/>
      <c r="M181" s="9"/>
      <c r="N181" s="11"/>
      <c r="O181" s="13"/>
      <c r="P181" s="15"/>
      <c r="Q181" s="17"/>
      <c r="R181" s="40">
        <f t="shared" si="6"/>
        <v>0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73" t="s">
        <v>48</v>
      </c>
      <c r="F182" s="63" t="s">
        <v>41</v>
      </c>
      <c r="G182" s="1" t="e" vm="17">
        <v>#VALUE!</v>
      </c>
      <c r="H182" s="1" t="s">
        <v>41</v>
      </c>
      <c r="K182" s="1" t="s">
        <v>128</v>
      </c>
      <c r="L182" s="7"/>
      <c r="M182" s="9"/>
      <c r="N182" s="11"/>
      <c r="O182" s="13"/>
      <c r="P182" s="15"/>
      <c r="Q182" s="17"/>
      <c r="R182" s="40">
        <f t="shared" si="6"/>
        <v>0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73" t="s">
        <v>48</v>
      </c>
      <c r="F183" s="63" t="s">
        <v>41</v>
      </c>
      <c r="G183" s="1" t="e" vm="17">
        <v>#VALUE!</v>
      </c>
      <c r="H183" s="1" t="s">
        <v>41</v>
      </c>
      <c r="K183" s="1" t="s">
        <v>22</v>
      </c>
      <c r="L183" s="7"/>
      <c r="M183" s="9"/>
      <c r="N183" s="11"/>
      <c r="O183" s="13"/>
      <c r="P183" s="15"/>
      <c r="Q183" s="17"/>
      <c r="R183" s="40">
        <f t="shared" si="6"/>
        <v>0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52" t="s">
        <v>37</v>
      </c>
      <c r="F184" s="63" t="s">
        <v>41</v>
      </c>
      <c r="G184" s="1" t="e" vm="17">
        <v>#VALUE!</v>
      </c>
      <c r="H184" s="1" t="s">
        <v>41</v>
      </c>
      <c r="K184" s="1" t="s">
        <v>271</v>
      </c>
      <c r="L184" s="7"/>
      <c r="M184" s="9"/>
      <c r="N184" s="11"/>
      <c r="O184" s="13"/>
      <c r="P184" s="15"/>
      <c r="Q184" s="17"/>
      <c r="R184" s="40">
        <f t="shared" si="6"/>
        <v>0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45" t="s">
        <v>16</v>
      </c>
      <c r="F185" s="67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/>
      <c r="M185" s="9"/>
      <c r="N185" s="11"/>
      <c r="O185" s="13"/>
      <c r="P185" s="15"/>
      <c r="Q185" s="17"/>
      <c r="R185" s="40">
        <f t="shared" si="6"/>
        <v>0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45" t="s">
        <v>16</v>
      </c>
      <c r="F186" s="67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/>
      <c r="M186" s="9"/>
      <c r="N186" s="11"/>
      <c r="O186" s="13"/>
      <c r="P186" s="15"/>
      <c r="Q186" s="17"/>
      <c r="R186" s="40">
        <f t="shared" si="6"/>
        <v>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53" t="s">
        <v>41</v>
      </c>
      <c r="F187" s="61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/>
      <c r="M187" s="9"/>
      <c r="N187" s="11"/>
      <c r="O187" s="13"/>
      <c r="P187" s="15"/>
      <c r="Q187" s="17"/>
      <c r="R187" s="40">
        <f t="shared" si="6"/>
        <v>0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53" t="s">
        <v>41</v>
      </c>
      <c r="F188" s="61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/>
      <c r="M188" s="9"/>
      <c r="N188" s="11"/>
      <c r="O188" s="13"/>
      <c r="P188" s="15"/>
      <c r="Q188" s="17"/>
      <c r="R188" s="40">
        <f t="shared" si="6"/>
        <v>0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50" t="s">
        <v>30</v>
      </c>
      <c r="F189" s="46"/>
      <c r="G189" s="1" t="e" vm="64">
        <v>#VALUE!</v>
      </c>
      <c r="H189" s="1" t="s">
        <v>118</v>
      </c>
      <c r="I189" s="1"/>
      <c r="J189" s="1"/>
      <c r="K189" s="1" t="s">
        <v>22</v>
      </c>
      <c r="L189" s="7"/>
      <c r="M189" s="9"/>
      <c r="N189" s="11"/>
      <c r="O189" s="13"/>
      <c r="P189" s="15"/>
      <c r="Q189" s="17"/>
      <c r="R189" s="40">
        <f t="shared" si="6"/>
        <v>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81" t="s">
        <v>69</v>
      </c>
      <c r="F190" s="69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/>
      <c r="M190" s="9"/>
      <c r="N190" s="11"/>
      <c r="O190" s="13"/>
      <c r="P190" s="15"/>
      <c r="Q190" s="17"/>
      <c r="R190" s="40">
        <f t="shared" si="6"/>
        <v>0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47" t="s">
        <v>24</v>
      </c>
      <c r="F191" s="46"/>
      <c r="G191" s="1" t="e" vm="26">
        <v>#VALUE!</v>
      </c>
      <c r="H191" s="1" t="s">
        <v>54</v>
      </c>
      <c r="I191" s="1"/>
      <c r="J191" s="1"/>
      <c r="K191" s="1" t="s">
        <v>280</v>
      </c>
      <c r="L191" s="7"/>
      <c r="M191" s="9"/>
      <c r="N191" s="11"/>
      <c r="O191" s="13"/>
      <c r="P191" s="15"/>
      <c r="Q191" s="17"/>
      <c r="R191" s="40">
        <f t="shared" si="6"/>
        <v>0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47" t="s">
        <v>24</v>
      </c>
      <c r="F192" s="67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/>
      <c r="M192" s="9"/>
      <c r="N192" s="11"/>
      <c r="O192" s="13"/>
      <c r="P192" s="15"/>
      <c r="Q192" s="17"/>
      <c r="R192" s="40">
        <f t="shared" si="6"/>
        <v>0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47" t="s">
        <v>24</v>
      </c>
      <c r="F193" s="65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/>
      <c r="M193" s="9"/>
      <c r="N193" s="11"/>
      <c r="O193" s="13"/>
      <c r="P193" s="15"/>
      <c r="Q193" s="17"/>
      <c r="R193" s="40">
        <f t="shared" si="6"/>
        <v>0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54" t="s">
        <v>45</v>
      </c>
      <c r="F194" s="75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/>
      <c r="M194" s="9"/>
      <c r="N194" s="11"/>
      <c r="O194" s="13"/>
      <c r="P194" s="15"/>
      <c r="Q194" s="17"/>
      <c r="R194" s="40">
        <f t="shared" si="6"/>
        <v>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54" t="s">
        <v>45</v>
      </c>
      <c r="F195" s="75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/>
      <c r="M195" s="9"/>
      <c r="N195" s="11"/>
      <c r="O195" s="13"/>
      <c r="P195" s="15"/>
      <c r="Q195" s="17"/>
      <c r="R195" s="40">
        <f t="shared" si="6"/>
        <v>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81" t="s">
        <v>69</v>
      </c>
      <c r="F196" s="75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/>
      <c r="M196" s="9"/>
      <c r="N196" s="11"/>
      <c r="O196" s="13"/>
      <c r="P196" s="15"/>
      <c r="Q196" s="17"/>
      <c r="R196" s="40">
        <f t="shared" si="6"/>
        <v>0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81" t="s">
        <v>69</v>
      </c>
      <c r="F197" s="59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/>
      <c r="M197" s="9"/>
      <c r="N197" s="11"/>
      <c r="O197" s="13"/>
      <c r="P197" s="15"/>
      <c r="Q197" s="17"/>
      <c r="R197" s="40">
        <f t="shared" si="6"/>
        <v>0</v>
      </c>
    </row>
    <row r="198" spans="2:18" ht="30" customHeight="1" x14ac:dyDescent="0.25">
      <c r="B198" s="5" t="e" vm="208">
        <v>#VALUE!</v>
      </c>
      <c r="C198" s="5">
        <f t="shared" ref="C198:C250" si="7">C197+1</f>
        <v>195</v>
      </c>
      <c r="D198" s="1" t="s">
        <v>291</v>
      </c>
      <c r="E198" s="62" t="s">
        <v>67</v>
      </c>
      <c r="F198" s="76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/>
      <c r="M198" s="9"/>
      <c r="N198" s="11"/>
      <c r="O198" s="13"/>
      <c r="P198" s="15"/>
      <c r="Q198" s="17"/>
      <c r="R198" s="40">
        <f t="shared" ref="R198:R201" si="8">SUM(L198:Q198)</f>
        <v>0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62" t="s">
        <v>67</v>
      </c>
      <c r="F199" s="76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/>
      <c r="M199" s="9"/>
      <c r="N199" s="11"/>
      <c r="O199" s="13"/>
      <c r="P199" s="15"/>
      <c r="Q199" s="17"/>
      <c r="R199" s="40">
        <f t="shared" si="8"/>
        <v>0</v>
      </c>
    </row>
    <row r="200" spans="2:18" ht="30" customHeight="1" x14ac:dyDescent="0.25">
      <c r="B200" s="5" t="e" vm="211">
        <v>#VALUE!</v>
      </c>
      <c r="C200" s="5">
        <f t="shared" si="7"/>
        <v>197</v>
      </c>
      <c r="D200" s="1" t="s">
        <v>294</v>
      </c>
      <c r="E200" s="57" t="s">
        <v>27</v>
      </c>
      <c r="F200" s="46"/>
      <c r="G200" s="1" t="e" vm="3">
        <v>#VALUE!</v>
      </c>
      <c r="H200" s="1" t="s">
        <v>17</v>
      </c>
      <c r="I200" s="1" t="e" vm="26">
        <v>#VALUE!</v>
      </c>
      <c r="J200" s="1" t="s">
        <v>54</v>
      </c>
      <c r="K200" s="1" t="s">
        <v>295</v>
      </c>
      <c r="L200" s="7"/>
      <c r="M200" s="9"/>
      <c r="N200" s="11"/>
      <c r="O200" s="13"/>
      <c r="P200" s="15"/>
      <c r="Q200" s="17"/>
      <c r="R200" s="40">
        <f t="shared" si="8"/>
        <v>0</v>
      </c>
    </row>
    <row r="201" spans="2:18" ht="30" customHeight="1" x14ac:dyDescent="0.25">
      <c r="B201" s="5" t="e" vm="212">
        <v>#VALUE!</v>
      </c>
      <c r="C201" s="5">
        <f t="shared" si="7"/>
        <v>198</v>
      </c>
      <c r="D201" s="1" t="s">
        <v>296</v>
      </c>
      <c r="E201" s="57" t="s">
        <v>27</v>
      </c>
      <c r="F201" s="46"/>
      <c r="G201" s="1" t="e" vm="3">
        <v>#VALUE!</v>
      </c>
      <c r="H201" s="1" t="s">
        <v>17</v>
      </c>
      <c r="I201" s="1" t="e" vm="26">
        <v>#VALUE!</v>
      </c>
      <c r="J201" s="1" t="s">
        <v>54</v>
      </c>
      <c r="K201" s="1" t="s">
        <v>22</v>
      </c>
      <c r="L201" s="7"/>
      <c r="M201" s="9"/>
      <c r="N201" s="11"/>
      <c r="O201" s="13"/>
      <c r="P201" s="15"/>
      <c r="Q201" s="17"/>
      <c r="R201" s="40">
        <f t="shared" si="8"/>
        <v>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54" t="s">
        <v>45</v>
      </c>
      <c r="F202" s="51" t="s">
        <v>34</v>
      </c>
      <c r="G202" s="1" t="e" vm="21">
        <v>#VALUE!</v>
      </c>
      <c r="H202" s="1" t="s">
        <v>45</v>
      </c>
      <c r="K202" s="1" t="s">
        <v>22</v>
      </c>
      <c r="L202" s="7"/>
      <c r="M202" s="9"/>
      <c r="N202" s="11"/>
      <c r="O202" s="13"/>
      <c r="P202" s="15"/>
      <c r="Q202" s="17"/>
      <c r="R202" s="40">
        <f t="shared" ref="R202:R250" si="9">SUM(L202:Q202)</f>
        <v>0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47" t="s">
        <v>24</v>
      </c>
      <c r="F203" s="48"/>
      <c r="G203" s="1" t="e" vm="3">
        <v>#VALUE!</v>
      </c>
      <c r="H203" s="1" t="s">
        <v>17</v>
      </c>
      <c r="K203" s="1" t="s">
        <v>22</v>
      </c>
      <c r="L203" s="7"/>
      <c r="M203" s="9"/>
      <c r="N203" s="11"/>
      <c r="O203" s="13"/>
      <c r="P203" s="15"/>
      <c r="Q203" s="17"/>
      <c r="R203" s="40">
        <f t="shared" si="9"/>
        <v>0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68" t="s">
        <v>65</v>
      </c>
      <c r="F204" s="80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/>
      <c r="M204" s="9"/>
      <c r="N204" s="11"/>
      <c r="O204" s="13"/>
      <c r="P204" s="15"/>
      <c r="Q204" s="17"/>
      <c r="R204" s="40">
        <f t="shared" si="9"/>
        <v>0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68" t="s">
        <v>65</v>
      </c>
      <c r="F205" s="80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/>
      <c r="M205" s="9"/>
      <c r="N205" s="11"/>
      <c r="O205" s="13"/>
      <c r="P205" s="15"/>
      <c r="Q205" s="17"/>
      <c r="R205" s="40">
        <f t="shared" si="9"/>
        <v>0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64" t="s">
        <v>66</v>
      </c>
      <c r="F206" s="46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/>
      <c r="M206" s="9"/>
      <c r="N206" s="11"/>
      <c r="O206" s="13"/>
      <c r="P206" s="15"/>
      <c r="Q206" s="17"/>
      <c r="R206" s="40">
        <f t="shared" si="9"/>
        <v>0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64" t="s">
        <v>66</v>
      </c>
      <c r="F207" s="46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/>
      <c r="M207" s="9"/>
      <c r="N207" s="11"/>
      <c r="O207" s="13"/>
      <c r="P207" s="15"/>
      <c r="Q207" s="17"/>
      <c r="R207" s="40">
        <f t="shared" si="9"/>
        <v>0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64" t="s">
        <v>66</v>
      </c>
      <c r="F208" s="46"/>
      <c r="G208" s="1" t="e" vm="3">
        <v>#VALUE!</v>
      </c>
      <c r="H208" s="1" t="s">
        <v>17</v>
      </c>
      <c r="I208" s="1"/>
      <c r="J208" s="1"/>
      <c r="K208" s="1" t="s">
        <v>243</v>
      </c>
      <c r="L208" s="7"/>
      <c r="M208" s="9"/>
      <c r="N208" s="11"/>
      <c r="O208" s="13"/>
      <c r="P208" s="15"/>
      <c r="Q208" s="17"/>
      <c r="R208" s="40">
        <f t="shared" si="9"/>
        <v>0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64" t="s">
        <v>66</v>
      </c>
      <c r="F209" s="46"/>
      <c r="G209" s="1" t="e" vm="3">
        <v>#VALUE!</v>
      </c>
      <c r="H209" s="1" t="s">
        <v>17</v>
      </c>
      <c r="I209" s="1"/>
      <c r="J209" s="1"/>
      <c r="K209" s="1" t="s">
        <v>22</v>
      </c>
      <c r="L209" s="7"/>
      <c r="M209" s="9"/>
      <c r="N209" s="11"/>
      <c r="O209" s="13"/>
      <c r="P209" s="15"/>
      <c r="Q209" s="17"/>
      <c r="R209" s="40">
        <f t="shared" si="9"/>
        <v>0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64" t="s">
        <v>66</v>
      </c>
      <c r="F210" s="46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/>
      <c r="M210" s="9"/>
      <c r="N210" s="11"/>
      <c r="O210" s="13"/>
      <c r="P210" s="15"/>
      <c r="Q210" s="17"/>
      <c r="R210" s="40">
        <f t="shared" si="9"/>
        <v>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41" t="s">
        <v>64</v>
      </c>
      <c r="F211" s="67" t="s">
        <v>63</v>
      </c>
      <c r="G211" s="1" t="e" vm="34">
        <v>#VALUE!</v>
      </c>
      <c r="H211" s="1" t="s">
        <v>71</v>
      </c>
      <c r="K211" s="1" t="s">
        <v>22</v>
      </c>
      <c r="L211" s="7"/>
      <c r="M211" s="9"/>
      <c r="N211" s="11"/>
      <c r="O211" s="13"/>
      <c r="P211" s="15"/>
      <c r="Q211" s="17"/>
      <c r="R211" s="40">
        <f t="shared" si="9"/>
        <v>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41" t="s">
        <v>64</v>
      </c>
      <c r="F212" s="67" t="s">
        <v>63</v>
      </c>
      <c r="G212" s="1" t="e" vm="34">
        <v>#VALUE!</v>
      </c>
      <c r="H212" s="1" t="s">
        <v>71</v>
      </c>
      <c r="K212" s="1" t="s">
        <v>22</v>
      </c>
      <c r="L212" s="7"/>
      <c r="M212" s="9"/>
      <c r="N212" s="11"/>
      <c r="O212" s="13"/>
      <c r="P212" s="15"/>
      <c r="Q212" s="17"/>
      <c r="R212" s="40">
        <f t="shared" si="9"/>
        <v>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70" t="s">
        <v>34</v>
      </c>
      <c r="F213" s="63" t="s">
        <v>41</v>
      </c>
      <c r="G213" s="1" t="e" vm="17">
        <v>#VALUE!</v>
      </c>
      <c r="H213" s="1" t="s">
        <v>41</v>
      </c>
      <c r="K213" s="1" t="s">
        <v>22</v>
      </c>
      <c r="L213" s="7"/>
      <c r="M213" s="9"/>
      <c r="N213" s="11"/>
      <c r="O213" s="13"/>
      <c r="P213" s="15"/>
      <c r="Q213" s="17"/>
      <c r="R213" s="40">
        <f t="shared" si="9"/>
        <v>0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81" t="s">
        <v>69</v>
      </c>
      <c r="F214" s="55" t="s">
        <v>48</v>
      </c>
      <c r="G214" s="1" t="e" vm="49">
        <v>#VALUE!</v>
      </c>
      <c r="H214" s="1" t="s">
        <v>69</v>
      </c>
      <c r="K214" s="1" t="s">
        <v>295</v>
      </c>
      <c r="L214" s="7"/>
      <c r="M214" s="9"/>
      <c r="N214" s="11"/>
      <c r="O214" s="13"/>
      <c r="P214" s="15"/>
      <c r="Q214" s="17"/>
      <c r="R214" s="40">
        <f t="shared" si="9"/>
        <v>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81" t="s">
        <v>69</v>
      </c>
      <c r="F215" s="55" t="s">
        <v>48</v>
      </c>
      <c r="G215" s="1" t="e" vm="49">
        <v>#VALUE!</v>
      </c>
      <c r="H215" s="1" t="s">
        <v>69</v>
      </c>
      <c r="K215" s="1" t="s">
        <v>319</v>
      </c>
      <c r="L215" s="7"/>
      <c r="M215" s="9"/>
      <c r="N215" s="11"/>
      <c r="O215" s="13"/>
      <c r="P215" s="15"/>
      <c r="Q215" s="17"/>
      <c r="R215" s="40">
        <f t="shared" si="9"/>
        <v>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81" t="s">
        <v>69</v>
      </c>
      <c r="F216" s="55" t="s">
        <v>48</v>
      </c>
      <c r="G216" s="1" t="e" vm="49">
        <v>#VALUE!</v>
      </c>
      <c r="H216" s="1" t="s">
        <v>69</v>
      </c>
      <c r="K216" s="1" t="s">
        <v>22</v>
      </c>
      <c r="L216" s="7"/>
      <c r="M216" s="9"/>
      <c r="N216" s="11"/>
      <c r="O216" s="13"/>
      <c r="P216" s="15"/>
      <c r="Q216" s="17"/>
      <c r="R216" s="40">
        <f t="shared" si="9"/>
        <v>0</v>
      </c>
    </row>
    <row r="217" spans="2:18" ht="30" customHeight="1" x14ac:dyDescent="0.25">
      <c r="B217" s="5" t="e" vm="228">
        <v>#VALUE!</v>
      </c>
      <c r="C217" s="5">
        <f t="shared" si="7"/>
        <v>214</v>
      </c>
      <c r="D217" s="1" t="s">
        <v>320</v>
      </c>
      <c r="E217" s="73" t="s">
        <v>48</v>
      </c>
      <c r="F217" s="83" t="s">
        <v>50</v>
      </c>
      <c r="G217" s="1" t="e" vm="209">
        <v>#VALUE!</v>
      </c>
      <c r="H217" s="1" t="s">
        <v>293</v>
      </c>
      <c r="I217" s="1"/>
      <c r="J217" s="1"/>
      <c r="K217" s="1" t="s">
        <v>22</v>
      </c>
      <c r="L217" s="7"/>
      <c r="M217" s="9"/>
      <c r="N217" s="11"/>
      <c r="O217" s="13"/>
      <c r="P217" s="15"/>
      <c r="Q217" s="17"/>
      <c r="R217" s="40">
        <f t="shared" si="9"/>
        <v>0</v>
      </c>
    </row>
    <row r="218" spans="2:18" ht="30" customHeight="1" x14ac:dyDescent="0.25">
      <c r="B218" s="5" t="e" vm="229">
        <v>#VALUE!</v>
      </c>
      <c r="C218" s="5">
        <f t="shared" si="7"/>
        <v>215</v>
      </c>
      <c r="D218" s="1" t="s">
        <v>321</v>
      </c>
      <c r="E218" s="73" t="s">
        <v>48</v>
      </c>
      <c r="F218" s="80" t="s">
        <v>16</v>
      </c>
      <c r="G218" s="1" t="e" vm="209">
        <v>#VALUE!</v>
      </c>
      <c r="H218" s="1" t="s">
        <v>293</v>
      </c>
      <c r="I218" s="1"/>
      <c r="J218" s="1"/>
      <c r="K218" s="1" t="s">
        <v>22</v>
      </c>
      <c r="L218" s="7"/>
      <c r="M218" s="9"/>
      <c r="N218" s="11"/>
      <c r="O218" s="13"/>
      <c r="P218" s="15"/>
      <c r="Q218" s="17"/>
      <c r="R218" s="40">
        <f t="shared" si="9"/>
        <v>0</v>
      </c>
    </row>
    <row r="219" spans="2:18" ht="30" customHeight="1" x14ac:dyDescent="0.25">
      <c r="B219" s="5" t="e" vm="230">
        <v>#VALUE!</v>
      </c>
      <c r="C219" s="5">
        <f t="shared" si="7"/>
        <v>216</v>
      </c>
      <c r="D219" s="1" t="s">
        <v>322</v>
      </c>
      <c r="E219" s="73" t="s">
        <v>48</v>
      </c>
      <c r="F219" s="75" t="s">
        <v>24</v>
      </c>
      <c r="G219" s="1" t="e" vm="209">
        <v>#VALUE!</v>
      </c>
      <c r="H219" s="1" t="s">
        <v>293</v>
      </c>
      <c r="I219" s="1"/>
      <c r="J219" s="1"/>
      <c r="K219" s="1" t="s">
        <v>22</v>
      </c>
      <c r="L219" s="7"/>
      <c r="M219" s="9"/>
      <c r="N219" s="11"/>
      <c r="O219" s="13"/>
      <c r="P219" s="15"/>
      <c r="Q219" s="17"/>
      <c r="R219" s="40">
        <f t="shared" si="9"/>
        <v>0</v>
      </c>
    </row>
    <row r="220" spans="2:18" ht="30" customHeight="1" x14ac:dyDescent="0.25">
      <c r="B220" s="5" t="e" vm="231">
        <v>#VALUE!</v>
      </c>
      <c r="C220" s="5">
        <f t="shared" si="7"/>
        <v>217</v>
      </c>
      <c r="D220" s="1" t="s">
        <v>323</v>
      </c>
      <c r="E220" s="73" t="s">
        <v>48</v>
      </c>
      <c r="F220" s="74" t="s">
        <v>66</v>
      </c>
      <c r="G220" s="1" t="e" vm="209">
        <v>#VALUE!</v>
      </c>
      <c r="H220" s="1" t="s">
        <v>293</v>
      </c>
      <c r="I220" s="1"/>
      <c r="J220" s="1"/>
      <c r="K220" s="1" t="s">
        <v>22</v>
      </c>
      <c r="L220" s="7"/>
      <c r="M220" s="9"/>
      <c r="N220" s="11"/>
      <c r="O220" s="13"/>
      <c r="P220" s="15"/>
      <c r="Q220" s="17"/>
      <c r="R220" s="40">
        <f t="shared" si="9"/>
        <v>0</v>
      </c>
    </row>
    <row r="221" spans="2:18" ht="30" customHeight="1" x14ac:dyDescent="0.25">
      <c r="C221" s="5">
        <f t="shared" si="7"/>
        <v>218</v>
      </c>
      <c r="D221" s="1" t="s">
        <v>297</v>
      </c>
      <c r="E221" s="84"/>
      <c r="F221" s="48"/>
      <c r="L221" s="7"/>
      <c r="M221" s="9"/>
      <c r="N221" s="11"/>
      <c r="O221" s="13"/>
      <c r="P221" s="15"/>
      <c r="Q221" s="17"/>
      <c r="R221" s="40">
        <f t="shared" si="9"/>
        <v>0</v>
      </c>
    </row>
    <row r="222" spans="2:18" ht="30" customHeight="1" x14ac:dyDescent="0.25">
      <c r="C222" s="5">
        <f t="shared" si="7"/>
        <v>219</v>
      </c>
      <c r="D222" s="1" t="s">
        <v>297</v>
      </c>
      <c r="E222" s="84"/>
      <c r="F222" s="48"/>
      <c r="L222" s="7"/>
      <c r="M222" s="9"/>
      <c r="N222" s="11"/>
      <c r="O222" s="13"/>
      <c r="P222" s="15"/>
      <c r="Q222" s="17"/>
      <c r="R222" s="40">
        <f t="shared" si="9"/>
        <v>0</v>
      </c>
    </row>
    <row r="223" spans="2:18" ht="30" customHeight="1" x14ac:dyDescent="0.25">
      <c r="B223" t="e" vm="232">
        <v>#VALUE!</v>
      </c>
      <c r="C223" s="5">
        <f t="shared" si="7"/>
        <v>220</v>
      </c>
      <c r="D223" s="1" t="s">
        <v>324</v>
      </c>
      <c r="E223" s="70" t="s">
        <v>34</v>
      </c>
      <c r="F223" s="48"/>
      <c r="G223" s="1" t="e" vm="34">
        <v>#VALUE!</v>
      </c>
      <c r="H223" s="1" t="s">
        <v>71</v>
      </c>
      <c r="K223" s="1" t="s">
        <v>43</v>
      </c>
      <c r="L223" s="7"/>
      <c r="M223" s="9"/>
      <c r="N223" s="11"/>
      <c r="O223" s="13"/>
      <c r="P223" s="15"/>
      <c r="Q223" s="17"/>
      <c r="R223" s="40">
        <f t="shared" si="9"/>
        <v>0</v>
      </c>
    </row>
    <row r="224" spans="2:18" ht="30" customHeight="1" x14ac:dyDescent="0.25">
      <c r="B224" t="e" vm="233">
        <v>#VALUE!</v>
      </c>
      <c r="C224" s="5">
        <f t="shared" si="7"/>
        <v>221</v>
      </c>
      <c r="D224" s="1" t="s">
        <v>325</v>
      </c>
      <c r="E224" s="70" t="s">
        <v>34</v>
      </c>
      <c r="F224" s="48"/>
      <c r="G224" s="1" t="e" vm="34">
        <v>#VALUE!</v>
      </c>
      <c r="H224" s="1" t="s">
        <v>71</v>
      </c>
      <c r="K224" s="1" t="s">
        <v>327</v>
      </c>
      <c r="L224" s="7"/>
      <c r="M224" s="9"/>
      <c r="N224" s="11"/>
      <c r="O224" s="13"/>
      <c r="P224" s="15"/>
      <c r="Q224" s="17"/>
      <c r="R224" s="40">
        <f t="shared" si="9"/>
        <v>0</v>
      </c>
    </row>
    <row r="225" spans="2:18" ht="30" customHeight="1" x14ac:dyDescent="0.25">
      <c r="B225" t="e" vm="234">
        <v>#VALUE!</v>
      </c>
      <c r="C225" s="5">
        <f t="shared" si="7"/>
        <v>222</v>
      </c>
      <c r="D225" s="1" t="s">
        <v>326</v>
      </c>
      <c r="E225" s="70" t="s">
        <v>34</v>
      </c>
      <c r="F225" s="48"/>
      <c r="G225" s="1" t="e" vm="34">
        <v>#VALUE!</v>
      </c>
      <c r="H225" s="1" t="s">
        <v>71</v>
      </c>
      <c r="K225" s="1" t="s">
        <v>22</v>
      </c>
      <c r="L225" s="7"/>
      <c r="M225" s="9"/>
      <c r="N225" s="11"/>
      <c r="O225" s="13"/>
      <c r="P225" s="15"/>
      <c r="Q225" s="17"/>
      <c r="R225" s="40">
        <f t="shared" si="9"/>
        <v>0</v>
      </c>
    </row>
    <row r="226" spans="2:18" ht="30" customHeight="1" x14ac:dyDescent="0.25">
      <c r="C226" s="5">
        <f t="shared" si="7"/>
        <v>223</v>
      </c>
      <c r="D226" s="1" t="s">
        <v>297</v>
      </c>
      <c r="E226" s="84"/>
      <c r="F226" s="48"/>
      <c r="L226" s="7"/>
      <c r="M226" s="9"/>
      <c r="N226" s="11"/>
      <c r="O226" s="13"/>
      <c r="P226" s="15"/>
      <c r="Q226" s="17"/>
      <c r="R226" s="40">
        <f t="shared" si="9"/>
        <v>0</v>
      </c>
    </row>
    <row r="227" spans="2:18" ht="30" customHeight="1" x14ac:dyDescent="0.25">
      <c r="C227" s="5">
        <f t="shared" si="7"/>
        <v>224</v>
      </c>
      <c r="D227" s="1" t="s">
        <v>297</v>
      </c>
      <c r="E227" s="84"/>
      <c r="F227" s="48"/>
      <c r="L227" s="7"/>
      <c r="M227" s="9"/>
      <c r="N227" s="11"/>
      <c r="O227" s="13"/>
      <c r="P227" s="15"/>
      <c r="Q227" s="17"/>
      <c r="R227" s="40">
        <f t="shared" si="9"/>
        <v>0</v>
      </c>
    </row>
    <row r="228" spans="2:18" ht="30" customHeight="1" x14ac:dyDescent="0.25">
      <c r="C228" s="5">
        <f t="shared" si="7"/>
        <v>225</v>
      </c>
      <c r="D228" s="1" t="s">
        <v>297</v>
      </c>
      <c r="E228" s="84"/>
      <c r="F228" s="48"/>
      <c r="L228" s="7"/>
      <c r="M228" s="9"/>
      <c r="N228" s="11"/>
      <c r="O228" s="13"/>
      <c r="P228" s="15"/>
      <c r="Q228" s="17"/>
      <c r="R228" s="40">
        <f t="shared" si="9"/>
        <v>0</v>
      </c>
    </row>
    <row r="229" spans="2:18" ht="30" customHeight="1" x14ac:dyDescent="0.25">
      <c r="C229" s="5">
        <f t="shared" si="7"/>
        <v>226</v>
      </c>
      <c r="D229" s="1" t="s">
        <v>297</v>
      </c>
      <c r="E229" s="84"/>
      <c r="F229" s="48"/>
      <c r="L229" s="7"/>
      <c r="M229" s="9"/>
      <c r="N229" s="11"/>
      <c r="O229" s="13"/>
      <c r="P229" s="15"/>
      <c r="Q229" s="17"/>
      <c r="R229" s="40">
        <f t="shared" si="9"/>
        <v>0</v>
      </c>
    </row>
    <row r="230" spans="2:18" ht="30" customHeight="1" x14ac:dyDescent="0.25">
      <c r="C230" s="5">
        <f t="shared" si="7"/>
        <v>227</v>
      </c>
      <c r="D230" s="1" t="s">
        <v>297</v>
      </c>
      <c r="E230" s="84"/>
      <c r="F230" s="48"/>
      <c r="L230" s="7"/>
      <c r="M230" s="9"/>
      <c r="N230" s="11"/>
      <c r="O230" s="13"/>
      <c r="P230" s="15"/>
      <c r="Q230" s="17"/>
      <c r="R230" s="40">
        <f t="shared" si="9"/>
        <v>0</v>
      </c>
    </row>
    <row r="231" spans="2:18" ht="30" customHeight="1" x14ac:dyDescent="0.25">
      <c r="C231" s="5">
        <f t="shared" si="7"/>
        <v>228</v>
      </c>
      <c r="D231" s="1" t="s">
        <v>297</v>
      </c>
      <c r="E231" s="84"/>
      <c r="F231" s="48"/>
      <c r="L231" s="7"/>
      <c r="M231" s="9"/>
      <c r="N231" s="11"/>
      <c r="O231" s="13"/>
      <c r="P231" s="15"/>
      <c r="Q231" s="17"/>
      <c r="R231" s="40">
        <f t="shared" si="9"/>
        <v>0</v>
      </c>
    </row>
    <row r="232" spans="2:18" ht="30" customHeight="1" x14ac:dyDescent="0.25">
      <c r="C232" s="5">
        <f t="shared" si="7"/>
        <v>229</v>
      </c>
      <c r="D232" s="1" t="s">
        <v>297</v>
      </c>
      <c r="E232" s="84"/>
      <c r="F232" s="48"/>
      <c r="L232" s="7"/>
      <c r="M232" s="9"/>
      <c r="N232" s="11"/>
      <c r="O232" s="13"/>
      <c r="P232" s="15"/>
      <c r="Q232" s="17"/>
      <c r="R232" s="40">
        <f t="shared" si="9"/>
        <v>0</v>
      </c>
    </row>
    <row r="233" spans="2:18" ht="30" customHeight="1" x14ac:dyDescent="0.25">
      <c r="C233" s="5">
        <f t="shared" si="7"/>
        <v>230</v>
      </c>
      <c r="D233" s="1" t="s">
        <v>297</v>
      </c>
      <c r="E233" s="84"/>
      <c r="F233" s="48"/>
      <c r="L233" s="7"/>
      <c r="M233" s="9"/>
      <c r="N233" s="11"/>
      <c r="O233" s="13"/>
      <c r="P233" s="15"/>
      <c r="Q233" s="17"/>
      <c r="R233" s="40">
        <f t="shared" si="9"/>
        <v>0</v>
      </c>
    </row>
    <row r="234" spans="2:18" ht="30" customHeight="1" x14ac:dyDescent="0.25">
      <c r="C234" s="5">
        <f t="shared" si="7"/>
        <v>231</v>
      </c>
      <c r="D234" s="1" t="s">
        <v>297</v>
      </c>
      <c r="E234" s="84"/>
      <c r="F234" s="48"/>
      <c r="L234" s="7"/>
      <c r="M234" s="9"/>
      <c r="N234" s="11"/>
      <c r="O234" s="13"/>
      <c r="P234" s="15"/>
      <c r="Q234" s="17"/>
      <c r="R234" s="40">
        <f t="shared" si="9"/>
        <v>0</v>
      </c>
    </row>
    <row r="235" spans="2:18" ht="30" customHeight="1" x14ac:dyDescent="0.25">
      <c r="C235" s="5">
        <f t="shared" si="7"/>
        <v>232</v>
      </c>
      <c r="D235" s="1" t="s">
        <v>297</v>
      </c>
      <c r="E235" s="84"/>
      <c r="F235" s="48"/>
      <c r="L235" s="7"/>
      <c r="M235" s="9"/>
      <c r="N235" s="11"/>
      <c r="O235" s="13"/>
      <c r="P235" s="15"/>
      <c r="Q235" s="17"/>
      <c r="R235" s="40">
        <f t="shared" si="9"/>
        <v>0</v>
      </c>
    </row>
    <row r="236" spans="2:18" ht="30" customHeight="1" x14ac:dyDescent="0.25">
      <c r="C236" s="5">
        <f t="shared" si="7"/>
        <v>233</v>
      </c>
      <c r="D236" s="1" t="s">
        <v>297</v>
      </c>
      <c r="E236" s="84"/>
      <c r="F236" s="48"/>
      <c r="L236" s="7"/>
      <c r="M236" s="9"/>
      <c r="N236" s="11"/>
      <c r="O236" s="13"/>
      <c r="P236" s="15"/>
      <c r="Q236" s="17"/>
      <c r="R236" s="40">
        <f t="shared" si="9"/>
        <v>0</v>
      </c>
    </row>
    <row r="237" spans="2:18" ht="30" customHeight="1" x14ac:dyDescent="0.25">
      <c r="C237" s="5">
        <f t="shared" si="7"/>
        <v>234</v>
      </c>
      <c r="D237" s="1" t="s">
        <v>297</v>
      </c>
      <c r="E237" s="84"/>
      <c r="F237" s="48"/>
      <c r="L237" s="7"/>
      <c r="M237" s="9"/>
      <c r="N237" s="11"/>
      <c r="O237" s="13"/>
      <c r="P237" s="15"/>
      <c r="Q237" s="17"/>
      <c r="R237" s="40">
        <f t="shared" si="9"/>
        <v>0</v>
      </c>
    </row>
    <row r="238" spans="2:18" ht="30" customHeight="1" x14ac:dyDescent="0.25">
      <c r="C238" s="5">
        <f t="shared" si="7"/>
        <v>235</v>
      </c>
      <c r="D238" s="1" t="s">
        <v>297</v>
      </c>
      <c r="E238" s="84"/>
      <c r="F238" s="48"/>
      <c r="L238" s="7"/>
      <c r="M238" s="9"/>
      <c r="N238" s="11"/>
      <c r="O238" s="13"/>
      <c r="P238" s="15"/>
      <c r="Q238" s="17"/>
      <c r="R238" s="40">
        <f t="shared" si="9"/>
        <v>0</v>
      </c>
    </row>
    <row r="239" spans="2:18" ht="30" customHeight="1" x14ac:dyDescent="0.25">
      <c r="C239" s="5">
        <f t="shared" si="7"/>
        <v>236</v>
      </c>
      <c r="D239" s="1" t="s">
        <v>297</v>
      </c>
      <c r="E239" s="84"/>
      <c r="F239" s="48"/>
      <c r="L239" s="7"/>
      <c r="M239" s="9"/>
      <c r="N239" s="11"/>
      <c r="O239" s="13"/>
      <c r="P239" s="15"/>
      <c r="Q239" s="17"/>
      <c r="R239" s="40">
        <f t="shared" si="9"/>
        <v>0</v>
      </c>
    </row>
    <row r="240" spans="2:18" ht="30" customHeight="1" x14ac:dyDescent="0.25">
      <c r="C240" s="5">
        <f t="shared" si="7"/>
        <v>237</v>
      </c>
      <c r="D240" s="1" t="s">
        <v>297</v>
      </c>
      <c r="E240" s="84"/>
      <c r="F240" s="48"/>
      <c r="L240" s="7"/>
      <c r="M240" s="9"/>
      <c r="N240" s="11"/>
      <c r="O240" s="13"/>
      <c r="P240" s="15"/>
      <c r="Q240" s="17"/>
      <c r="R240" s="40">
        <f t="shared" si="9"/>
        <v>0</v>
      </c>
    </row>
    <row r="241" spans="3:18" ht="30" customHeight="1" x14ac:dyDescent="0.25">
      <c r="C241" s="5">
        <f t="shared" si="7"/>
        <v>238</v>
      </c>
      <c r="D241" s="1" t="s">
        <v>297</v>
      </c>
      <c r="E241" s="84"/>
      <c r="F241" s="48"/>
      <c r="L241" s="7"/>
      <c r="M241" s="9"/>
      <c r="N241" s="11"/>
      <c r="O241" s="13"/>
      <c r="P241" s="15"/>
      <c r="Q241" s="17"/>
      <c r="R241" s="40">
        <f t="shared" si="9"/>
        <v>0</v>
      </c>
    </row>
    <row r="242" spans="3:18" ht="30" customHeight="1" x14ac:dyDescent="0.25">
      <c r="C242" s="5">
        <f t="shared" si="7"/>
        <v>239</v>
      </c>
      <c r="D242" s="1" t="s">
        <v>297</v>
      </c>
      <c r="E242" s="84"/>
      <c r="F242" s="48"/>
      <c r="L242" s="7"/>
      <c r="M242" s="9"/>
      <c r="N242" s="11"/>
      <c r="O242" s="13"/>
      <c r="P242" s="15"/>
      <c r="Q242" s="17"/>
      <c r="R242" s="40">
        <f t="shared" si="9"/>
        <v>0</v>
      </c>
    </row>
    <row r="243" spans="3:18" ht="30" customHeight="1" x14ac:dyDescent="0.25">
      <c r="C243" s="5">
        <f t="shared" si="7"/>
        <v>240</v>
      </c>
      <c r="D243" s="1" t="s">
        <v>297</v>
      </c>
      <c r="E243" s="84"/>
      <c r="F243" s="48"/>
      <c r="L243" s="7"/>
      <c r="M243" s="9"/>
      <c r="N243" s="11"/>
      <c r="O243" s="13"/>
      <c r="P243" s="15"/>
      <c r="Q243" s="17"/>
      <c r="R243" s="40">
        <f t="shared" si="9"/>
        <v>0</v>
      </c>
    </row>
    <row r="244" spans="3:18" ht="30" customHeight="1" x14ac:dyDescent="0.25">
      <c r="C244" s="5">
        <f t="shared" si="7"/>
        <v>241</v>
      </c>
      <c r="D244" s="1" t="s">
        <v>297</v>
      </c>
      <c r="E244" s="84"/>
      <c r="F244" s="48"/>
      <c r="L244" s="7"/>
      <c r="M244" s="9"/>
      <c r="N244" s="11"/>
      <c r="O244" s="13"/>
      <c r="P244" s="15"/>
      <c r="Q244" s="17"/>
      <c r="R244" s="40">
        <f t="shared" si="9"/>
        <v>0</v>
      </c>
    </row>
    <row r="245" spans="3:18" ht="30" customHeight="1" x14ac:dyDescent="0.25">
      <c r="C245" s="5">
        <f t="shared" si="7"/>
        <v>242</v>
      </c>
      <c r="D245" s="1" t="s">
        <v>297</v>
      </c>
      <c r="E245" s="84"/>
      <c r="F245" s="48"/>
      <c r="L245" s="7"/>
      <c r="M245" s="9"/>
      <c r="N245" s="11"/>
      <c r="O245" s="13"/>
      <c r="P245" s="15"/>
      <c r="Q245" s="17"/>
      <c r="R245" s="40">
        <f t="shared" si="9"/>
        <v>0</v>
      </c>
    </row>
    <row r="246" spans="3:18" ht="30" customHeight="1" x14ac:dyDescent="0.25">
      <c r="C246" s="5">
        <f t="shared" si="7"/>
        <v>243</v>
      </c>
      <c r="D246" s="1" t="s">
        <v>297</v>
      </c>
      <c r="E246" s="84"/>
      <c r="F246" s="48"/>
      <c r="L246" s="7"/>
      <c r="M246" s="9"/>
      <c r="N246" s="11"/>
      <c r="O246" s="13"/>
      <c r="P246" s="15"/>
      <c r="Q246" s="17"/>
      <c r="R246" s="40">
        <f t="shared" si="9"/>
        <v>0</v>
      </c>
    </row>
    <row r="247" spans="3:18" ht="30" customHeight="1" x14ac:dyDescent="0.25">
      <c r="C247" s="5">
        <f t="shared" si="7"/>
        <v>244</v>
      </c>
      <c r="D247" s="1" t="s">
        <v>297</v>
      </c>
      <c r="E247" s="84"/>
      <c r="F247" s="48"/>
      <c r="L247" s="7"/>
      <c r="M247" s="9"/>
      <c r="N247" s="11"/>
      <c r="O247" s="13"/>
      <c r="P247" s="15"/>
      <c r="Q247" s="17"/>
      <c r="R247" s="40">
        <f t="shared" si="9"/>
        <v>0</v>
      </c>
    </row>
    <row r="248" spans="3:18" ht="30" customHeight="1" x14ac:dyDescent="0.25">
      <c r="C248" s="5">
        <f t="shared" si="7"/>
        <v>245</v>
      </c>
      <c r="D248" s="1" t="s">
        <v>297</v>
      </c>
      <c r="E248" s="84"/>
      <c r="F248" s="48"/>
      <c r="L248" s="7"/>
      <c r="M248" s="9"/>
      <c r="N248" s="11"/>
      <c r="O248" s="13"/>
      <c r="P248" s="15"/>
      <c r="Q248" s="17"/>
      <c r="R248" s="40">
        <f t="shared" si="9"/>
        <v>0</v>
      </c>
    </row>
    <row r="249" spans="3:18" ht="30" customHeight="1" x14ac:dyDescent="0.25">
      <c r="C249" s="5">
        <f t="shared" si="7"/>
        <v>246</v>
      </c>
      <c r="D249" s="1" t="s">
        <v>297</v>
      </c>
      <c r="E249" s="84"/>
      <c r="F249" s="48"/>
      <c r="L249" s="7"/>
      <c r="M249" s="9"/>
      <c r="N249" s="11"/>
      <c r="O249" s="13"/>
      <c r="P249" s="15"/>
      <c r="Q249" s="17"/>
      <c r="R249" s="40">
        <f t="shared" si="9"/>
        <v>0</v>
      </c>
    </row>
    <row r="250" spans="3:18" ht="30" customHeight="1" thickBot="1" x14ac:dyDescent="0.3">
      <c r="C250" s="5">
        <f t="shared" si="7"/>
        <v>247</v>
      </c>
      <c r="D250" s="1" t="s">
        <v>297</v>
      </c>
      <c r="E250" s="85"/>
      <c r="F250" s="86"/>
      <c r="L250" s="7"/>
      <c r="M250" s="9"/>
      <c r="N250" s="11"/>
      <c r="O250" s="13"/>
      <c r="P250" s="15"/>
      <c r="Q250" s="17"/>
      <c r="R250" s="40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2026-07-05T10:58:01Z</dcterms:modified>
</cp:coreProperties>
</file>