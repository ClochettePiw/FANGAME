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IERRE\Fakemon\POC\FANGAME\"/>
    </mc:Choice>
  </mc:AlternateContent>
  <xr:revisionPtr revIDLastSave="0" documentId="13_ncr:1_{93DAF4E3-F6B9-4158-A90E-2FF8F7971B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ké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7" i="1" l="1"/>
  <c r="C257" i="1"/>
  <c r="C258" i="1" s="1"/>
  <c r="C259" i="1" s="1"/>
  <c r="C260" i="1" s="1"/>
  <c r="C261" i="1" s="1"/>
  <c r="C262" i="1" s="1"/>
  <c r="R255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6" i="1"/>
  <c r="R258" i="1"/>
  <c r="R259" i="1"/>
  <c r="R260" i="1"/>
  <c r="R261" i="1"/>
  <c r="R262" i="1"/>
  <c r="R263" i="1"/>
  <c r="R264" i="1"/>
  <c r="R265" i="1"/>
  <c r="R266" i="1"/>
  <c r="R267" i="1"/>
  <c r="R201" i="1"/>
  <c r="R200" i="1"/>
  <c r="R202" i="1" l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102" i="1" l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83" i="1" l="1"/>
  <c r="R82" i="1"/>
  <c r="T21" i="1" l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R18" i="1" l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3" i="1"/>
  <c r="R14" i="1"/>
  <c r="R15" i="1"/>
  <c r="R16" i="1"/>
  <c r="R17" i="1"/>
  <c r="R5" i="1"/>
  <c r="R6" i="1"/>
  <c r="R7" i="1"/>
  <c r="R8" i="1"/>
  <c r="R9" i="1"/>
  <c r="R10" i="1"/>
  <c r="R11" i="1"/>
  <c r="R12" i="1"/>
  <c r="R4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" i="1"/>
  <c r="C200" i="1" l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l="1"/>
  <c r="C250" i="1" s="1"/>
  <c r="C251" i="1" s="1"/>
  <c r="C252" i="1" s="1"/>
  <c r="C253" i="1" s="1"/>
  <c r="C254" i="1" s="1"/>
  <c r="C263" i="1" l="1"/>
  <c r="C264" i="1" s="1"/>
  <c r="C265" i="1" s="1"/>
  <c r="C266" i="1" s="1"/>
  <c r="C267" i="1" s="1"/>
  <c r="C255" i="1"/>
  <c r="C25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7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</futureMetadata>
  <valueMetadata count="27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</valueMetadata>
</metadata>
</file>

<file path=xl/sharedStrings.xml><?xml version="1.0" encoding="utf-8"?>
<sst xmlns="http://schemas.openxmlformats.org/spreadsheetml/2006/main" count="1310" uniqueCount="373">
  <si>
    <t>Base stats</t>
  </si>
  <si>
    <t>OW Sprite</t>
  </si>
  <si>
    <t>Num.</t>
  </si>
  <si>
    <t>Name</t>
  </si>
  <si>
    <t>Type (1)</t>
  </si>
  <si>
    <t>Type (2)</t>
  </si>
  <si>
    <t>Egg group (1)</t>
  </si>
  <si>
    <t>Egg group (2)</t>
  </si>
  <si>
    <t>Evolution method</t>
  </si>
  <si>
    <t>PVs</t>
  </si>
  <si>
    <t>Atk</t>
  </si>
  <si>
    <t>Def</t>
  </si>
  <si>
    <t>Atk.Spe</t>
  </si>
  <si>
    <t>Def.Spe</t>
  </si>
  <si>
    <t>Speed</t>
  </si>
  <si>
    <t>Snivy</t>
  </si>
  <si>
    <t>Grass</t>
  </si>
  <si>
    <t>Field</t>
  </si>
  <si>
    <t>lv.17</t>
  </si>
  <si>
    <t>Servine</t>
  </si>
  <si>
    <t>lv.36</t>
  </si>
  <si>
    <t>Serperior</t>
  </si>
  <si>
    <t>-</t>
  </si>
  <si>
    <t>Torchic</t>
  </si>
  <si>
    <t>Fire</t>
  </si>
  <si>
    <t>lv.16</t>
  </si>
  <si>
    <t>Combusken</t>
  </si>
  <si>
    <t>Fighting</t>
  </si>
  <si>
    <t>Blaziken</t>
  </si>
  <si>
    <t>Piplup</t>
  </si>
  <si>
    <t>Water</t>
  </si>
  <si>
    <t>Water1</t>
  </si>
  <si>
    <t>Prinplup</t>
  </si>
  <si>
    <t>Empoleon</t>
  </si>
  <si>
    <t>Steel</t>
  </si>
  <si>
    <t>Total</t>
  </si>
  <si>
    <t>Lillipup</t>
  </si>
  <si>
    <t>Normal</t>
  </si>
  <si>
    <t>Herdier</t>
  </si>
  <si>
    <t>lv.32</t>
  </si>
  <si>
    <t>Stoutland</t>
  </si>
  <si>
    <t>Flying</t>
  </si>
  <si>
    <t>lv.18</t>
  </si>
  <si>
    <t>lv.38</t>
  </si>
  <si>
    <t>Nymble</t>
  </si>
  <si>
    <t>Bug</t>
  </si>
  <si>
    <t>lv.24</t>
  </si>
  <si>
    <t>Lokix</t>
  </si>
  <si>
    <t>Dark</t>
  </si>
  <si>
    <t>Sandshrew</t>
  </si>
  <si>
    <t>Ground</t>
  </si>
  <si>
    <t>lv.22</t>
  </si>
  <si>
    <t>Sandslash</t>
  </si>
  <si>
    <t>Pancham</t>
  </si>
  <si>
    <t>Human-like</t>
  </si>
  <si>
    <t>lv.32 while the player has a dark-type Pokémon in their party</t>
  </si>
  <si>
    <t>Pangoro</t>
  </si>
  <si>
    <t>Petilil</t>
  </si>
  <si>
    <t>Sun stone</t>
  </si>
  <si>
    <t>Lilligant</t>
  </si>
  <si>
    <t>Fairy</t>
  </si>
  <si>
    <t>Whimsicott</t>
  </si>
  <si>
    <t>Nbr</t>
  </si>
  <si>
    <t>Psychic</t>
  </si>
  <si>
    <t>Rock</t>
  </si>
  <si>
    <t>Ghost</t>
  </si>
  <si>
    <t>Ice</t>
  </si>
  <si>
    <t>Electrik</t>
  </si>
  <si>
    <t>Poison</t>
  </si>
  <si>
    <t>Dragon</t>
  </si>
  <si>
    <t>Roggenrola</t>
  </si>
  <si>
    <t>Mineral</t>
  </si>
  <si>
    <t>lv.25</t>
  </si>
  <si>
    <t>Boldore</t>
  </si>
  <si>
    <t>Gigalith</t>
  </si>
  <si>
    <t>Shroomish</t>
  </si>
  <si>
    <t>lv.23</t>
  </si>
  <si>
    <t>Breloom</t>
  </si>
  <si>
    <t>lv.28</t>
  </si>
  <si>
    <t>Shroodle</t>
  </si>
  <si>
    <t>Grafaiai</t>
  </si>
  <si>
    <t>Dewpider</t>
  </si>
  <si>
    <t>Teddiursa</t>
  </si>
  <si>
    <t>lv.30</t>
  </si>
  <si>
    <t>Ursaring</t>
  </si>
  <si>
    <t>holding King's rock at night and level up</t>
  </si>
  <si>
    <t>Ursaluna</t>
  </si>
  <si>
    <t>Skiddo</t>
  </si>
  <si>
    <t>Gogoat</t>
  </si>
  <si>
    <t>Applin</t>
  </si>
  <si>
    <t>Tart apple (Flapple) or Sweept apple (Appletun)</t>
  </si>
  <si>
    <t>Flapple</t>
  </si>
  <si>
    <t>Appletun</t>
  </si>
  <si>
    <t>Cottonee</t>
  </si>
  <si>
    <t>Emolga</t>
  </si>
  <si>
    <t>Snorunt</t>
  </si>
  <si>
    <r>
      <t xml:space="preserve">lv.42 (Glalie) or Dawn stone </t>
    </r>
    <r>
      <rPr>
        <sz val="12"/>
        <color rgb="FFFF0000"/>
        <rFont val="Power Clear"/>
      </rPr>
      <t>♀</t>
    </r>
    <r>
      <rPr>
        <sz val="12"/>
        <color rgb="FF000000"/>
        <rFont val="Power Clear"/>
      </rPr>
      <t xml:space="preserve"> (Froslass)</t>
    </r>
  </si>
  <si>
    <t>Glalie</t>
  </si>
  <si>
    <t>Froslass</t>
  </si>
  <si>
    <t>Araquanid</t>
  </si>
  <si>
    <t>Dwebble</t>
  </si>
  <si>
    <t>Crustle</t>
  </si>
  <si>
    <t>Stantler</t>
  </si>
  <si>
    <t>Wyrdeer</t>
  </si>
  <si>
    <t>lv.34</t>
  </si>
  <si>
    <t>Gligar</t>
  </si>
  <si>
    <t>holding Razor fang at night and level up</t>
  </si>
  <si>
    <t>Gliscor</t>
  </si>
  <si>
    <t>Vulpix</t>
  </si>
  <si>
    <t>Fire stone</t>
  </si>
  <si>
    <t>Ninetales</t>
  </si>
  <si>
    <t>Mankey</t>
  </si>
  <si>
    <t>Primeape</t>
  </si>
  <si>
    <t>Annihilape</t>
  </si>
  <si>
    <t>Amorphous</t>
  </si>
  <si>
    <t>Drifloon</t>
  </si>
  <si>
    <t>Drifblim</t>
  </si>
  <si>
    <t>Magikarp</t>
  </si>
  <si>
    <t>Water2</t>
  </si>
  <si>
    <t>lv.20</t>
  </si>
  <si>
    <t>Gyarados</t>
  </si>
  <si>
    <t>Remoraid</t>
  </si>
  <si>
    <t>Octillery</t>
  </si>
  <si>
    <t>Wingull</t>
  </si>
  <si>
    <t>Pelliper</t>
  </si>
  <si>
    <t>Honedge</t>
  </si>
  <si>
    <t>lv.35</t>
  </si>
  <si>
    <t>Doublade</t>
  </si>
  <si>
    <t>Dusk stone</t>
  </si>
  <si>
    <t>Aegislash</t>
  </si>
  <si>
    <t>lv.43</t>
  </si>
  <si>
    <t>Vanillite</t>
  </si>
  <si>
    <t>Vanillish</t>
  </si>
  <si>
    <t>lv.47</t>
  </si>
  <si>
    <t>Vanilluxe</t>
  </si>
  <si>
    <t>Munna</t>
  </si>
  <si>
    <t>Moon stone</t>
  </si>
  <si>
    <t>Musharna</t>
  </si>
  <si>
    <t>Snom</t>
  </si>
  <si>
    <t>high friendship (night)</t>
  </si>
  <si>
    <t>Frosmoth</t>
  </si>
  <si>
    <t>lv.33</t>
  </si>
  <si>
    <t>Psyduck</t>
  </si>
  <si>
    <t>Golduck</t>
  </si>
  <si>
    <t>Fidough</t>
  </si>
  <si>
    <t>lv.26</t>
  </si>
  <si>
    <t>Dachsbun</t>
  </si>
  <si>
    <t>Arrokuda</t>
  </si>
  <si>
    <t>Barraskewda</t>
  </si>
  <si>
    <t>Basculin</t>
  </si>
  <si>
    <t>Basculegion</t>
  </si>
  <si>
    <t>Flabébé</t>
  </si>
  <si>
    <t>lv.19</t>
  </si>
  <si>
    <t>Floette</t>
  </si>
  <si>
    <t>Shiny stone</t>
  </si>
  <si>
    <t>Florges</t>
  </si>
  <si>
    <t>Wimpod</t>
  </si>
  <si>
    <t>Water3</t>
  </si>
  <si>
    <t>Golisopod</t>
  </si>
  <si>
    <t>Tynamo</t>
  </si>
  <si>
    <t>lv.39</t>
  </si>
  <si>
    <t>Eelektrik</t>
  </si>
  <si>
    <t>Thunder stone</t>
  </si>
  <si>
    <t>Eelektross</t>
  </si>
  <si>
    <t>Inkay</t>
  </si>
  <si>
    <t>Malamar</t>
  </si>
  <si>
    <t>Clobbopus</t>
  </si>
  <si>
    <t>learn Taunt</t>
  </si>
  <si>
    <t>Grapploct</t>
  </si>
  <si>
    <t>Shellder</t>
  </si>
  <si>
    <t>Water stone</t>
  </si>
  <si>
    <t>Cloyster</t>
  </si>
  <si>
    <t>Clauncher</t>
  </si>
  <si>
    <t>lv.37</t>
  </si>
  <si>
    <t>Clawitzer</t>
  </si>
  <si>
    <t>Skrelp</t>
  </si>
  <si>
    <t>lv.48</t>
  </si>
  <si>
    <t>Dragalge</t>
  </si>
  <si>
    <t>Sandile</t>
  </si>
  <si>
    <t>lv.29</t>
  </si>
  <si>
    <t>Krokoroc</t>
  </si>
  <si>
    <t>lv.40</t>
  </si>
  <si>
    <t>Krookodile</t>
  </si>
  <si>
    <t>Sandaconda</t>
  </si>
  <si>
    <t>Scraggy</t>
  </si>
  <si>
    <t>Scrafty</t>
  </si>
  <si>
    <t>Silicobra</t>
  </si>
  <si>
    <t>Litwick</t>
  </si>
  <si>
    <t>lv.41</t>
  </si>
  <si>
    <t>Lampent</t>
  </si>
  <si>
    <t>Chandelure</t>
  </si>
  <si>
    <t>Venipede</t>
  </si>
  <si>
    <t>Whirlipede</t>
  </si>
  <si>
    <t>Scolipede</t>
  </si>
  <si>
    <t>Grubbin</t>
  </si>
  <si>
    <t>Charjabug</t>
  </si>
  <si>
    <t>Vikavolt</t>
  </si>
  <si>
    <t>Capsakid</t>
  </si>
  <si>
    <t>Scovillain</t>
  </si>
  <si>
    <t>Flittle</t>
  </si>
  <si>
    <t>Espathra</t>
  </si>
  <si>
    <t>Rhyhorn</t>
  </si>
  <si>
    <t>Monster</t>
  </si>
  <si>
    <t>lv.42</t>
  </si>
  <si>
    <t>Rhydon</t>
  </si>
  <si>
    <t>Rhyperior</t>
  </si>
  <si>
    <t>Lanturn</t>
  </si>
  <si>
    <t>lv.27</t>
  </si>
  <si>
    <t>lv.31</t>
  </si>
  <si>
    <t>Excadrill</t>
  </si>
  <si>
    <t>Drilbur</t>
  </si>
  <si>
    <t>Rolycoly</t>
  </si>
  <si>
    <t>Carkol</t>
  </si>
  <si>
    <t>Coalossal</t>
  </si>
  <si>
    <t>Tinkatink</t>
  </si>
  <si>
    <t>Tinkatuff</t>
  </si>
  <si>
    <t>Tinkaton</t>
  </si>
  <si>
    <t>Aron</t>
  </si>
  <si>
    <t>Lairon</t>
  </si>
  <si>
    <t>Aggron</t>
  </si>
  <si>
    <t>Carbink</t>
  </si>
  <si>
    <t>Mareanie</t>
  </si>
  <si>
    <t>Toxapex</t>
  </si>
  <si>
    <t>Salandit</t>
  </si>
  <si>
    <r>
      <t xml:space="preserve">lv.33 </t>
    </r>
    <r>
      <rPr>
        <sz val="12"/>
        <color rgb="FFFF0000"/>
        <rFont val="Power Clear"/>
      </rPr>
      <t>♀</t>
    </r>
  </si>
  <si>
    <t>Salazzle</t>
  </si>
  <si>
    <t>Golett</t>
  </si>
  <si>
    <t>Golurk</t>
  </si>
  <si>
    <t>Pawniard</t>
  </si>
  <si>
    <t>lv.52</t>
  </si>
  <si>
    <t>Bisharp</t>
  </si>
  <si>
    <t>holding King's rock and level up</t>
  </si>
  <si>
    <t>Kingambit</t>
  </si>
  <si>
    <t>Yamask</t>
  </si>
  <si>
    <t>Cofagrigus</t>
  </si>
  <si>
    <t>Dhelmise</t>
  </si>
  <si>
    <t>Spheal</t>
  </si>
  <si>
    <t>Sealeo</t>
  </si>
  <si>
    <t>lv.44</t>
  </si>
  <si>
    <t>Walrein</t>
  </si>
  <si>
    <t>Helioptile</t>
  </si>
  <si>
    <t>Heliolisk</t>
  </si>
  <si>
    <t>Crabrawler</t>
  </si>
  <si>
    <t>Ice stone</t>
  </si>
  <si>
    <t>Crabominable</t>
  </si>
  <si>
    <t>Finizen</t>
  </si>
  <si>
    <t>Palafin</t>
  </si>
  <si>
    <t>Frillish</t>
  </si>
  <si>
    <t>Jellicent</t>
  </si>
  <si>
    <t>Staryu</t>
  </si>
  <si>
    <t>Starmie</t>
  </si>
  <si>
    <t>Chinchou</t>
  </si>
  <si>
    <t>lv.55</t>
  </si>
  <si>
    <t>Larvitar</t>
  </si>
  <si>
    <t>Pupitar</t>
  </si>
  <si>
    <t>Tyranitar</t>
  </si>
  <si>
    <t>Cufant</t>
  </si>
  <si>
    <t>Copperajah </t>
  </si>
  <si>
    <t>Absol</t>
  </si>
  <si>
    <t>Comfey</t>
  </si>
  <si>
    <t>Link stone</t>
  </si>
  <si>
    <t>Protector</t>
  </si>
  <si>
    <t>Jangmo-o</t>
  </si>
  <si>
    <t>Hakamo-o</t>
  </si>
  <si>
    <t>lv.45</t>
  </si>
  <si>
    <t>Kommo-o</t>
  </si>
  <si>
    <t>Trubbish</t>
  </si>
  <si>
    <t>Garbodor</t>
  </si>
  <si>
    <t>Murkrow</t>
  </si>
  <si>
    <t>Honchkrow</t>
  </si>
  <si>
    <t>Chatot</t>
  </si>
  <si>
    <t>_</t>
  </si>
  <si>
    <t>Exeggcute</t>
  </si>
  <si>
    <t>Leaf stone</t>
  </si>
  <si>
    <t>Exeggutor</t>
  </si>
  <si>
    <t>Noibat</t>
  </si>
  <si>
    <t>Noivern</t>
  </si>
  <si>
    <t>Dondozo</t>
  </si>
  <si>
    <t>Tatsugiri</t>
  </si>
  <si>
    <t>Charcadet</t>
  </si>
  <si>
    <t>Auspicious armor (Armarouge) or Malicious armor (Ceruledge)</t>
  </si>
  <si>
    <t>Armarouge</t>
  </si>
  <si>
    <t>Ceruledge</t>
  </si>
  <si>
    <t>Larvesta</t>
  </si>
  <si>
    <t>lv.59</t>
  </si>
  <si>
    <t>Volcarona</t>
  </si>
  <si>
    <t>Turtonator</t>
  </si>
  <si>
    <t>Drampa</t>
  </si>
  <si>
    <t>Fletchling</t>
  </si>
  <si>
    <t>Fletchinder</t>
  </si>
  <si>
    <t>Talonflame</t>
  </si>
  <si>
    <t>Toxel</t>
  </si>
  <si>
    <t>Toxtricity</t>
  </si>
  <si>
    <t>Undiscovered</t>
  </si>
  <si>
    <t>Mienfoo</t>
  </si>
  <si>
    <t>lv.50</t>
  </si>
  <si>
    <t>Mienshao</t>
  </si>
  <si>
    <t>***</t>
  </si>
  <si>
    <t>Durant</t>
  </si>
  <si>
    <t>Heatmor</t>
  </si>
  <si>
    <t>Phantump</t>
  </si>
  <si>
    <t>Trevenant</t>
  </si>
  <si>
    <t>learn Psyshield Bash</t>
  </si>
  <si>
    <t>learn Phantom Force</t>
  </si>
  <si>
    <t>Bergmite</t>
  </si>
  <si>
    <t>Avalugg</t>
  </si>
  <si>
    <t>Cetoddle</t>
  </si>
  <si>
    <t>Cetitan</t>
  </si>
  <si>
    <t>Eiscue</t>
  </si>
  <si>
    <t>Solrock</t>
  </si>
  <si>
    <t>Lunatone</t>
  </si>
  <si>
    <t>Azurill</t>
  </si>
  <si>
    <t>Marill</t>
  </si>
  <si>
    <t>Azumarill</t>
  </si>
  <si>
    <t>high friendship</t>
  </si>
  <si>
    <t>Skarmory</t>
  </si>
  <si>
    <t>Deino</t>
  </si>
  <si>
    <t>Zweilous</t>
  </si>
  <si>
    <t>Hydreigon</t>
  </si>
  <si>
    <t>lv.64</t>
  </si>
  <si>
    <t>Ting-Lu</t>
  </si>
  <si>
    <t>Wo-Chien</t>
  </si>
  <si>
    <t>Chi-Yu</t>
  </si>
  <si>
    <t>Chien-Pao</t>
  </si>
  <si>
    <t>Tic</t>
  </si>
  <si>
    <t>Clic</t>
  </si>
  <si>
    <t>Cliticlic</t>
  </si>
  <si>
    <t>lv.49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</si>
  <si>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</si>
  <si>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</si>
  <si>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</si>
  <si>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</si>
  <si>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</si>
  <si>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</si>
  <si>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</si>
  <si>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</si>
  <si>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</si>
  <si>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Rufflet</t>
  </si>
  <si>
    <t>Braviary</t>
  </si>
  <si>
    <t>Vullaby</t>
  </si>
  <si>
    <t>Mandibuzz</t>
  </si>
  <si>
    <t>lv.54</t>
  </si>
  <si>
    <t>Ditto</t>
  </si>
  <si>
    <t>Scyther</t>
  </si>
  <si>
    <t>Scizor</t>
  </si>
  <si>
    <t>Kleavor</t>
  </si>
  <si>
    <t>holding metal coat and level up (Scizor) or holding black augurite and level up (Kleavor)</t>
  </si>
  <si>
    <t>holding magmarizer and level up</t>
  </si>
  <si>
    <t>holding electrizer and level up</t>
  </si>
  <si>
    <t>Magby</t>
  </si>
  <si>
    <t>Magmar</t>
  </si>
  <si>
    <t>Magmortar</t>
  </si>
  <si>
    <t>Elekid</t>
  </si>
  <si>
    <t>Electabuzz</t>
  </si>
  <si>
    <t>Electivire</t>
  </si>
  <si>
    <t>water stone (Vaporeon), thunder stone (Jolteon), fire stone (flareon), high friendship at day (Espeon), high friendship at night (Umbreon), leaf stone (Leafeon), ice stone (Glaceon), shiny stone (Sylveon)</t>
  </si>
  <si>
    <t>Woobat</t>
  </si>
  <si>
    <t>Swoobat</t>
  </si>
  <si>
    <t>Meditite</t>
  </si>
  <si>
    <t>Medicham</t>
  </si>
  <si>
    <t>Zangoose</t>
  </si>
  <si>
    <t>Seviper</t>
  </si>
  <si>
    <t>Corphish</t>
  </si>
  <si>
    <t>Crawdaunt</t>
  </si>
  <si>
    <t>Tropius</t>
  </si>
  <si>
    <t>Fantyrm</t>
  </si>
  <si>
    <t>Dispareptil</t>
  </si>
  <si>
    <t>Lanssorien</t>
  </si>
  <si>
    <t>lv.60</t>
  </si>
  <si>
    <t>Relicanth</t>
  </si>
  <si>
    <t>Zorua</t>
  </si>
  <si>
    <t>Zoroark</t>
  </si>
  <si>
    <t>Druddigon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</si>
</sst>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Power Clear"/>
    </font>
    <font>
      <sz val="11"/>
      <color rgb="FF000000"/>
      <name val="Power Clear"/>
    </font>
    <font>
      <sz val="11"/>
      <color rgb="FFFFFFFF"/>
      <name val="Power Clear"/>
    </font>
    <font>
      <sz val="12"/>
      <color rgb="FFFF0000"/>
      <name val="Power Clear"/>
    </font>
    <font>
      <sz val="11"/>
      <color theme="1"/>
      <name val="Power Clear"/>
    </font>
    <font>
      <sz val="12"/>
      <name val="Power Clear"/>
    </font>
  </fonts>
  <fills count="26">
    <fill>
      <patternFill patternType="none"/>
    </fill>
    <fill>
      <patternFill patternType="gray125"/>
    </fill>
    <fill>
      <patternFill patternType="solid">
        <fgColor rgb="FF71E97F"/>
        <bgColor rgb="FF71E97F"/>
      </patternFill>
    </fill>
    <fill>
      <patternFill patternType="solid">
        <fgColor rgb="FFF0AA2C"/>
        <bgColor rgb="FFF0AA2C"/>
      </patternFill>
    </fill>
    <fill>
      <patternFill patternType="solid">
        <fgColor rgb="FFF57833"/>
        <bgColor rgb="FFF57833"/>
      </patternFill>
    </fill>
    <fill>
      <patternFill patternType="solid">
        <fgColor rgb="FF61CBF3"/>
        <bgColor rgb="FF61CBF3"/>
      </patternFill>
    </fill>
    <fill>
      <patternFill patternType="solid">
        <fgColor rgb="FFA8BEC8"/>
        <bgColor rgb="FFA8BEC8"/>
      </patternFill>
    </fill>
    <fill>
      <patternFill patternType="solid">
        <fgColor rgb="FFCFFDCB"/>
        <bgColor indexed="64"/>
      </patternFill>
    </fill>
    <fill>
      <patternFill patternType="solid">
        <fgColor rgb="FFFBFBA3"/>
        <bgColor indexed="64"/>
      </patternFill>
    </fill>
    <fill>
      <patternFill patternType="solid">
        <fgColor rgb="FFF8D18C"/>
        <bgColor indexed="64"/>
      </patternFill>
    </fill>
    <fill>
      <patternFill patternType="solid">
        <fgColor rgb="FFD0F7FC"/>
        <bgColor indexed="64"/>
      </patternFill>
    </fill>
    <fill>
      <patternFill patternType="solid">
        <fgColor rgb="FFCBD0FD"/>
        <bgColor indexed="64"/>
      </patternFill>
    </fill>
    <fill>
      <patternFill patternType="solid">
        <fgColor rgb="FFF7CCFC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rgb="FFBDC9FB"/>
        <bgColor rgb="FFBDC9FB"/>
      </patternFill>
    </fill>
    <fill>
      <patternFill patternType="solid">
        <fgColor rgb="FFCFF0A2"/>
        <bgColor rgb="FFCFF0A2"/>
      </patternFill>
    </fill>
    <fill>
      <patternFill patternType="solid">
        <fgColor rgb="FF4B5161"/>
        <bgColor rgb="FF4B5161"/>
      </patternFill>
    </fill>
    <fill>
      <patternFill patternType="solid">
        <fgColor rgb="FFCFB083"/>
        <bgColor rgb="FFCFB083"/>
      </patternFill>
    </fill>
    <fill>
      <patternFill patternType="solid">
        <fgColor rgb="FFFEBEF0"/>
        <bgColor rgb="FFFEBEF0"/>
      </patternFill>
    </fill>
    <fill>
      <patternFill patternType="solid">
        <fgColor rgb="FFEB47A5"/>
        <bgColor rgb="FFEE7ECE"/>
      </patternFill>
    </fill>
    <fill>
      <patternFill patternType="solid">
        <fgColor rgb="FFCD865B"/>
        <bgColor rgb="FFCD865B"/>
      </patternFill>
    </fill>
    <fill>
      <patternFill patternType="solid">
        <fgColor rgb="FFAA92C4"/>
        <bgColor rgb="FFAA92C4"/>
      </patternFill>
    </fill>
    <fill>
      <patternFill patternType="solid">
        <fgColor rgb="FFC3E7F9"/>
        <bgColor rgb="FFC3E7F9"/>
      </patternFill>
    </fill>
    <fill>
      <patternFill patternType="solid">
        <fgColor rgb="FFFAF01E"/>
        <bgColor rgb="FFF0F523"/>
      </patternFill>
    </fill>
    <fill>
      <patternFill patternType="solid">
        <fgColor rgb="FFC971E5"/>
        <bgColor rgb="FFC971E5"/>
      </patternFill>
    </fill>
    <fill>
      <patternFill patternType="solid">
        <fgColor rgb="FF655BE7"/>
        <bgColor rgb="FF655BE7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20" borderId="5" xfId="0" applyFont="1" applyFill="1" applyBorder="1" applyAlignment="1">
      <alignment horizontal="left" vertical="top" wrapText="1"/>
    </xf>
    <xf numFmtId="0" fontId="2" fillId="18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0" fillId="0" borderId="6" xfId="0" applyBorder="1"/>
    <xf numFmtId="0" fontId="2" fillId="4" borderId="6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13" borderId="5" xfId="0" applyFont="1" applyFill="1" applyBorder="1" applyAlignment="1">
      <alignment horizontal="left" vertical="top" wrapText="1"/>
    </xf>
    <xf numFmtId="0" fontId="2" fillId="14" borderId="5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horizontal="left" vertical="top" wrapText="1"/>
    </xf>
    <xf numFmtId="0" fontId="3" fillId="16" borderId="6" xfId="0" applyFont="1" applyFill="1" applyBorder="1" applyAlignment="1">
      <alignment horizontal="left" vertical="top" wrapText="1"/>
    </xf>
    <xf numFmtId="0" fontId="2" fillId="17" borderId="5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24" borderId="5" xfId="0" applyFont="1" applyFill="1" applyBorder="1" applyAlignment="1">
      <alignment horizontal="left" vertical="top" wrapText="1"/>
    </xf>
    <xf numFmtId="0" fontId="2" fillId="13" borderId="6" xfId="0" applyFont="1" applyFill="1" applyBorder="1" applyAlignment="1">
      <alignment horizontal="left" vertical="top" wrapText="1"/>
    </xf>
    <xf numFmtId="0" fontId="2" fillId="15" borderId="6" xfId="0" applyFont="1" applyFill="1" applyBorder="1" applyAlignment="1">
      <alignment horizontal="left" vertical="top" wrapText="1"/>
    </xf>
    <xf numFmtId="0" fontId="3" fillId="25" borderId="6" xfId="0" applyFont="1" applyFill="1" applyBorder="1" applyAlignment="1">
      <alignment horizontal="left" vertical="top" wrapText="1"/>
    </xf>
    <xf numFmtId="0" fontId="2" fillId="23" borderId="5" xfId="0" applyFont="1" applyFill="1" applyBorder="1" applyAlignment="1">
      <alignment horizontal="left" vertical="top" wrapText="1"/>
    </xf>
    <xf numFmtId="0" fontId="2" fillId="14" borderId="6" xfId="0" applyFont="1" applyFill="1" applyBorder="1" applyAlignment="1">
      <alignment horizontal="left" vertical="top" wrapText="1"/>
    </xf>
    <xf numFmtId="0" fontId="2" fillId="22" borderId="5" xfId="0" applyFont="1" applyFill="1" applyBorder="1" applyAlignment="1">
      <alignment horizontal="left" vertical="top" wrapText="1"/>
    </xf>
    <xf numFmtId="0" fontId="2" fillId="21" borderId="6" xfId="0" applyFont="1" applyFill="1" applyBorder="1" applyAlignment="1">
      <alignment horizontal="left" vertical="top" wrapText="1"/>
    </xf>
    <xf numFmtId="0" fontId="2" fillId="20" borderId="6" xfId="0" applyFont="1" applyFill="1" applyBorder="1" applyAlignment="1">
      <alignment horizontal="left" vertical="top" wrapText="1"/>
    </xf>
    <xf numFmtId="0" fontId="2" fillId="19" borderId="6" xfId="0" applyFont="1" applyFill="1" applyBorder="1" applyAlignment="1">
      <alignment horizontal="left" vertical="top" wrapText="1"/>
    </xf>
    <xf numFmtId="0" fontId="2" fillId="21" borderId="5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19" borderId="5" xfId="0" applyFont="1" applyFill="1" applyBorder="1" applyAlignment="1">
      <alignment horizontal="left" vertical="top" wrapText="1"/>
    </xf>
    <xf numFmtId="0" fontId="2" fillId="18" borderId="5" xfId="0" applyFont="1" applyFill="1" applyBorder="1" applyAlignment="1">
      <alignment horizontal="left" vertical="top" wrapText="1"/>
    </xf>
    <xf numFmtId="0" fontId="3" fillId="16" borderId="5" xfId="0" applyFont="1" applyFill="1" applyBorder="1" applyAlignment="1">
      <alignment horizontal="left" vertical="top" wrapText="1"/>
    </xf>
    <xf numFmtId="0" fontId="2" fillId="22" borderId="6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24" borderId="6" xfId="0" applyFont="1" applyFill="1" applyBorder="1" applyAlignment="1">
      <alignment horizontal="left" vertical="top" wrapText="1"/>
    </xf>
    <xf numFmtId="0" fontId="2" fillId="23" borderId="6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3" fillId="25" borderId="5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" fillId="17" borderId="6" xfId="0" applyFont="1" applyFill="1" applyBorder="1" applyAlignment="1">
      <alignment horizontal="left" vertical="top" wrapText="1"/>
    </xf>
    <xf numFmtId="0" fontId="0" fillId="0" borderId="5" xfId="0" applyBorder="1"/>
    <xf numFmtId="0" fontId="2" fillId="2" borderId="7" xfId="0" applyFont="1" applyFill="1" applyBorder="1" applyAlignment="1">
      <alignment horizontal="left" vertical="top" wrapText="1"/>
    </xf>
    <xf numFmtId="0" fontId="3" fillId="25" borderId="10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CCFC"/>
      <color rgb="FFCBD0FD"/>
      <color rgb="FFD0F7FC"/>
      <color rgb="FFF8D18C"/>
      <color rgb="FFFBFBA3"/>
      <color rgb="FFCFFD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des types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93-44CF-A903-F98605E112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93-44CF-A903-F98605E112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93-44CF-A903-F98605E112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93-44CF-A903-F98605E112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93-44CF-A903-F98605E112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893-44CF-A903-F98605E112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893-44CF-A903-F98605E112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893-44CF-A903-F98605E112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893-44CF-A903-F98605E112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893-44CF-A903-F98605E112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893-44CF-A903-F98605E112A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893-44CF-A903-F98605E112A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893-44CF-A903-F98605E112A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893-44CF-A903-F98605E112A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893-44CF-A903-F98605E112A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893-44CF-A903-F98605E112A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893-44CF-A903-F98605E112A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893-44CF-A903-F98605E112A0}"/>
              </c:ext>
            </c:extLst>
          </c:dPt>
          <c:cat>
            <c:strRef>
              <c:f>Pokédex!$S$4:$S$21</c:f>
              <c:strCache>
                <c:ptCount val="18"/>
                <c:pt idx="0">
                  <c:v>Grass</c:v>
                </c:pt>
                <c:pt idx="1">
                  <c:v>Fire</c:v>
                </c:pt>
                <c:pt idx="2">
                  <c:v>Water</c:v>
                </c:pt>
                <c:pt idx="3">
                  <c:v>Normal</c:v>
                </c:pt>
                <c:pt idx="4">
                  <c:v>Fighting</c:v>
                </c:pt>
                <c:pt idx="5">
                  <c:v>Flying</c:v>
                </c:pt>
                <c:pt idx="6">
                  <c:v>Psychic</c:v>
                </c:pt>
                <c:pt idx="7">
                  <c:v>Bug</c:v>
                </c:pt>
                <c:pt idx="8">
                  <c:v>Ground</c:v>
                </c:pt>
                <c:pt idx="9">
                  <c:v>Rock</c:v>
                </c:pt>
                <c:pt idx="10">
                  <c:v>Ghost</c:v>
                </c:pt>
                <c:pt idx="11">
                  <c:v>Dark</c:v>
                </c:pt>
                <c:pt idx="12">
                  <c:v>Ice</c:v>
                </c:pt>
                <c:pt idx="13">
                  <c:v>Steel</c:v>
                </c:pt>
                <c:pt idx="14">
                  <c:v>Electrik</c:v>
                </c:pt>
                <c:pt idx="15">
                  <c:v>Poison</c:v>
                </c:pt>
                <c:pt idx="16">
                  <c:v>Fairy</c:v>
                </c:pt>
                <c:pt idx="17">
                  <c:v>Dragon</c:v>
                </c:pt>
              </c:strCache>
            </c:strRef>
          </c:cat>
          <c:val>
            <c:numRef>
              <c:f>Pokédex!$T$4:$T$21</c:f>
              <c:numCache>
                <c:formatCode>General</c:formatCode>
                <c:ptCount val="18"/>
                <c:pt idx="0">
                  <c:v>22</c:v>
                </c:pt>
                <c:pt idx="1">
                  <c:v>28</c:v>
                </c:pt>
                <c:pt idx="2">
                  <c:v>45</c:v>
                </c:pt>
                <c:pt idx="3">
                  <c:v>21</c:v>
                </c:pt>
                <c:pt idx="4">
                  <c:v>20</c:v>
                </c:pt>
                <c:pt idx="5">
                  <c:v>25</c:v>
                </c:pt>
                <c:pt idx="6">
                  <c:v>18</c:v>
                </c:pt>
                <c:pt idx="7">
                  <c:v>22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28</c:v>
                </c:pt>
                <c:pt idx="12">
                  <c:v>20</c:v>
                </c:pt>
                <c:pt idx="13">
                  <c:v>22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0-4031-BA3E-5B5BD9BF4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28575</xdr:colOff>
      <xdr:row>2</xdr:row>
      <xdr:rowOff>14287</xdr:rowOff>
    </xdr:from>
    <xdr:to>
      <xdr:col>27</xdr:col>
      <xdr:colOff>333375</xdr:colOff>
      <xdr:row>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BFE36F-9FD6-E07B-002A-1F39B2598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T267"/>
  <sheetViews>
    <sheetView tabSelected="1" topLeftCell="A244" zoomScaleNormal="100" workbookViewId="0">
      <selection activeCell="B255" sqref="B255"/>
    </sheetView>
  </sheetViews>
  <sheetFormatPr defaultRowHeight="15" x14ac:dyDescent="0.25"/>
  <cols>
    <col min="2" max="2" width="21.42578125" customWidth="1"/>
    <col min="4" max="4" width="14.28515625" customWidth="1"/>
    <col min="7" max="7" width="2.85546875" customWidth="1"/>
    <col min="8" max="8" width="14.28515625" customWidth="1"/>
    <col min="9" max="9" width="2.85546875" customWidth="1"/>
    <col min="10" max="10" width="14.28515625" customWidth="1"/>
    <col min="11" max="11" width="50" customWidth="1"/>
    <col min="12" max="17" width="5.7109375" customWidth="1"/>
    <col min="18" max="18" width="10" customWidth="1"/>
  </cols>
  <sheetData>
    <row r="1" spans="2:20" ht="30" customHeight="1" thickBot="1" x14ac:dyDescent="0.3"/>
    <row r="2" spans="2:20" ht="30" customHeight="1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70" t="s">
        <v>0</v>
      </c>
      <c r="M2" s="70"/>
      <c r="N2" s="70"/>
      <c r="O2" s="70"/>
      <c r="P2" s="70"/>
      <c r="Q2" s="70"/>
    </row>
    <row r="3" spans="2:20" ht="30" customHeight="1" thickBot="1" x14ac:dyDescent="0.3">
      <c r="B3" s="2" t="s">
        <v>1</v>
      </c>
      <c r="C3" s="2" t="s">
        <v>2</v>
      </c>
      <c r="D3" s="2" t="s">
        <v>3</v>
      </c>
      <c r="E3" s="64" t="s">
        <v>4</v>
      </c>
      <c r="F3" s="64" t="s">
        <v>5</v>
      </c>
      <c r="G3" s="71" t="s">
        <v>6</v>
      </c>
      <c r="H3" s="71"/>
      <c r="I3" s="71" t="s">
        <v>7</v>
      </c>
      <c r="J3" s="71"/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35</v>
      </c>
      <c r="S3" s="18"/>
      <c r="T3" s="18" t="s">
        <v>62</v>
      </c>
    </row>
    <row r="4" spans="2:20" ht="30" customHeight="1" x14ac:dyDescent="0.25">
      <c r="B4" s="3" t="e" vm="1">
        <v>#VALUE!</v>
      </c>
      <c r="C4" s="3">
        <v>1</v>
      </c>
      <c r="D4" s="4" t="s">
        <v>15</v>
      </c>
      <c r="E4" s="25" t="s">
        <v>16</v>
      </c>
      <c r="F4" s="26"/>
      <c r="G4" s="4" t="e" vm="2">
        <v>#VALUE!</v>
      </c>
      <c r="H4" s="4" t="s">
        <v>16</v>
      </c>
      <c r="I4" s="4" t="e" vm="3">
        <v>#VALUE!</v>
      </c>
      <c r="J4" s="4" t="s">
        <v>17</v>
      </c>
      <c r="K4" s="4" t="s">
        <v>18</v>
      </c>
      <c r="L4" s="6">
        <v>45</v>
      </c>
      <c r="M4" s="8">
        <v>45</v>
      </c>
      <c r="N4" s="10">
        <v>55</v>
      </c>
      <c r="O4" s="12">
        <v>45</v>
      </c>
      <c r="P4" s="14">
        <v>55</v>
      </c>
      <c r="Q4" s="16">
        <v>63</v>
      </c>
      <c r="R4" s="22">
        <f>SUM(L4:Q4)</f>
        <v>308</v>
      </c>
      <c r="S4" s="67" t="s">
        <v>16</v>
      </c>
      <c r="T4" s="19">
        <f>COUNTIF(E$6:F$267, "Grass")</f>
        <v>22</v>
      </c>
    </row>
    <row r="5" spans="2:20" ht="30" customHeight="1" x14ac:dyDescent="0.25">
      <c r="B5" s="5" t="e" vm="4">
        <v>#VALUE!</v>
      </c>
      <c r="C5" s="5">
        <f t="shared" ref="C5:C69" si="0">C4+1</f>
        <v>2</v>
      </c>
      <c r="D5" s="1" t="s">
        <v>19</v>
      </c>
      <c r="E5" s="27" t="s">
        <v>16</v>
      </c>
      <c r="F5" s="28"/>
      <c r="G5" s="1" t="e" vm="2">
        <v>#VALUE!</v>
      </c>
      <c r="H5" s="1" t="s">
        <v>16</v>
      </c>
      <c r="I5" s="1" t="e" vm="3">
        <v>#VALUE!</v>
      </c>
      <c r="J5" s="1" t="s">
        <v>17</v>
      </c>
      <c r="K5" s="1" t="s">
        <v>20</v>
      </c>
      <c r="L5" s="7">
        <v>60</v>
      </c>
      <c r="M5" s="9">
        <v>60</v>
      </c>
      <c r="N5" s="11">
        <v>75</v>
      </c>
      <c r="O5" s="13">
        <v>60</v>
      </c>
      <c r="P5" s="15">
        <v>75</v>
      </c>
      <c r="Q5" s="17">
        <v>83</v>
      </c>
      <c r="R5" s="22">
        <f t="shared" ref="R5:R69" si="1">SUM(L5:Q5)</f>
        <v>413</v>
      </c>
      <c r="S5" s="29" t="s">
        <v>24</v>
      </c>
      <c r="T5" s="20">
        <f>COUNTIF(E$6:F$267, "Fire")</f>
        <v>28</v>
      </c>
    </row>
    <row r="6" spans="2:20" ht="30" customHeight="1" x14ac:dyDescent="0.25">
      <c r="B6" s="5" t="e" vm="5">
        <v>#VALUE!</v>
      </c>
      <c r="C6" s="5">
        <f t="shared" si="0"/>
        <v>3</v>
      </c>
      <c r="D6" s="1" t="s">
        <v>21</v>
      </c>
      <c r="E6" s="27" t="s">
        <v>16</v>
      </c>
      <c r="F6" s="28"/>
      <c r="G6" s="1" t="e" vm="2">
        <v>#VALUE!</v>
      </c>
      <c r="H6" s="1" t="s">
        <v>16</v>
      </c>
      <c r="I6" s="1" t="e" vm="3">
        <v>#VALUE!</v>
      </c>
      <c r="J6" s="1" t="s">
        <v>17</v>
      </c>
      <c r="K6" s="1" t="s">
        <v>22</v>
      </c>
      <c r="L6" s="7">
        <v>75</v>
      </c>
      <c r="M6" s="9">
        <v>75</v>
      </c>
      <c r="N6" s="11">
        <v>95</v>
      </c>
      <c r="O6" s="13">
        <v>75</v>
      </c>
      <c r="P6" s="15">
        <v>95</v>
      </c>
      <c r="Q6" s="17">
        <v>113</v>
      </c>
      <c r="R6" s="22">
        <f t="shared" si="1"/>
        <v>528</v>
      </c>
      <c r="S6" s="32" t="s">
        <v>30</v>
      </c>
      <c r="T6" s="20">
        <f>COUNTIF(E$6:F$267, "Water")</f>
        <v>45</v>
      </c>
    </row>
    <row r="7" spans="2:20" ht="30" customHeight="1" x14ac:dyDescent="0.25">
      <c r="B7" s="5" t="e" vm="6">
        <v>#VALUE!</v>
      </c>
      <c r="C7" s="5">
        <f t="shared" si="0"/>
        <v>4</v>
      </c>
      <c r="D7" s="1" t="s">
        <v>23</v>
      </c>
      <c r="E7" s="29" t="s">
        <v>24</v>
      </c>
      <c r="F7" s="30"/>
      <c r="G7" s="1" t="e" vm="3">
        <v>#VALUE!</v>
      </c>
      <c r="H7" s="1" t="s">
        <v>17</v>
      </c>
      <c r="I7" s="1"/>
      <c r="J7" s="1"/>
      <c r="K7" s="1" t="s">
        <v>25</v>
      </c>
      <c r="L7" s="7">
        <v>45</v>
      </c>
      <c r="M7" s="9">
        <v>60</v>
      </c>
      <c r="N7" s="11">
        <v>40</v>
      </c>
      <c r="O7" s="13">
        <v>70</v>
      </c>
      <c r="P7" s="15">
        <v>50</v>
      </c>
      <c r="Q7" s="17">
        <v>45</v>
      </c>
      <c r="R7" s="22">
        <f t="shared" si="1"/>
        <v>310</v>
      </c>
      <c r="S7" s="34" t="s">
        <v>37</v>
      </c>
      <c r="T7" s="20">
        <f>COUNTIF(E$6:F$267, "Normal")</f>
        <v>21</v>
      </c>
    </row>
    <row r="8" spans="2:20" ht="30" customHeight="1" x14ac:dyDescent="0.25">
      <c r="B8" s="5" t="e" vm="7">
        <v>#VALUE!</v>
      </c>
      <c r="C8" s="5">
        <f t="shared" si="0"/>
        <v>5</v>
      </c>
      <c r="D8" s="1" t="s">
        <v>26</v>
      </c>
      <c r="E8" s="29" t="s">
        <v>24</v>
      </c>
      <c r="F8" s="31" t="s">
        <v>27</v>
      </c>
      <c r="G8" s="1" t="e" vm="3">
        <v>#VALUE!</v>
      </c>
      <c r="H8" s="1" t="s">
        <v>17</v>
      </c>
      <c r="I8" s="1"/>
      <c r="J8" s="1"/>
      <c r="K8" s="1" t="s">
        <v>20</v>
      </c>
      <c r="L8" s="7">
        <v>60</v>
      </c>
      <c r="M8" s="9">
        <v>85</v>
      </c>
      <c r="N8" s="11">
        <v>60</v>
      </c>
      <c r="O8" s="13">
        <v>85</v>
      </c>
      <c r="P8" s="15">
        <v>60</v>
      </c>
      <c r="Q8" s="17">
        <v>55</v>
      </c>
      <c r="R8" s="22">
        <f t="shared" si="1"/>
        <v>405</v>
      </c>
      <c r="S8" s="39" t="s">
        <v>27</v>
      </c>
      <c r="T8" s="20">
        <f>COUNTIF(E$6:F$267, "Fighting")</f>
        <v>20</v>
      </c>
    </row>
    <row r="9" spans="2:20" ht="30" customHeight="1" x14ac:dyDescent="0.25">
      <c r="B9" s="5" t="e" vm="8">
        <v>#VALUE!</v>
      </c>
      <c r="C9" s="5">
        <f t="shared" si="0"/>
        <v>6</v>
      </c>
      <c r="D9" s="1" t="s">
        <v>28</v>
      </c>
      <c r="E9" s="29" t="s">
        <v>24</v>
      </c>
      <c r="F9" s="31" t="s">
        <v>27</v>
      </c>
      <c r="G9" s="1" t="e" vm="3">
        <v>#VALUE!</v>
      </c>
      <c r="H9" s="1" t="s">
        <v>17</v>
      </c>
      <c r="I9" s="1"/>
      <c r="J9" s="1"/>
      <c r="K9" s="1" t="s">
        <v>22</v>
      </c>
      <c r="L9" s="7">
        <v>80</v>
      </c>
      <c r="M9" s="9">
        <v>120</v>
      </c>
      <c r="N9" s="11">
        <v>70</v>
      </c>
      <c r="O9" s="13">
        <v>110</v>
      </c>
      <c r="P9" s="15">
        <v>70</v>
      </c>
      <c r="Q9" s="17">
        <v>80</v>
      </c>
      <c r="R9" s="22">
        <f t="shared" si="1"/>
        <v>530</v>
      </c>
      <c r="S9" s="35" t="s">
        <v>41</v>
      </c>
      <c r="T9" s="20">
        <f>COUNTIF(E$6:F$267, "Flying")</f>
        <v>25</v>
      </c>
    </row>
    <row r="10" spans="2:20" ht="30" customHeight="1" x14ac:dyDescent="0.25">
      <c r="B10" s="5" t="e" vm="9">
        <v>#VALUE!</v>
      </c>
      <c r="C10" s="5">
        <f t="shared" si="0"/>
        <v>7</v>
      </c>
      <c r="D10" s="1" t="s">
        <v>29</v>
      </c>
      <c r="E10" s="32" t="s">
        <v>30</v>
      </c>
      <c r="F10" s="28"/>
      <c r="G10" s="1" t="e" vm="10">
        <v>#VALUE!</v>
      </c>
      <c r="H10" s="1" t="s">
        <v>31</v>
      </c>
      <c r="I10" s="1" t="e" vm="3">
        <v>#VALUE!</v>
      </c>
      <c r="J10" s="1" t="s">
        <v>17</v>
      </c>
      <c r="K10" s="1" t="s">
        <v>25</v>
      </c>
      <c r="L10" s="7">
        <v>53</v>
      </c>
      <c r="M10" s="9">
        <v>51</v>
      </c>
      <c r="N10" s="11">
        <v>53</v>
      </c>
      <c r="O10" s="13">
        <v>61</v>
      </c>
      <c r="P10" s="15">
        <v>56</v>
      </c>
      <c r="Q10" s="17">
        <v>40</v>
      </c>
      <c r="R10" s="22">
        <f t="shared" si="1"/>
        <v>314</v>
      </c>
      <c r="S10" s="53" t="s">
        <v>63</v>
      </c>
      <c r="T10" s="20">
        <f>COUNTIF(E$6:F$267, "Psychic")</f>
        <v>18</v>
      </c>
    </row>
    <row r="11" spans="2:20" ht="30" customHeight="1" x14ac:dyDescent="0.25">
      <c r="B11" s="5" t="e" vm="11">
        <v>#VALUE!</v>
      </c>
      <c r="C11" s="5">
        <f t="shared" si="0"/>
        <v>8</v>
      </c>
      <c r="D11" s="1" t="s">
        <v>32</v>
      </c>
      <c r="E11" s="32" t="s">
        <v>30</v>
      </c>
      <c r="F11" s="28"/>
      <c r="G11" s="1" t="e" vm="10">
        <v>#VALUE!</v>
      </c>
      <c r="H11" s="1" t="s">
        <v>31</v>
      </c>
      <c r="I11" s="1" t="e" vm="3">
        <v>#VALUE!</v>
      </c>
      <c r="J11" s="1" t="s">
        <v>17</v>
      </c>
      <c r="K11" s="1" t="s">
        <v>20</v>
      </c>
      <c r="L11" s="7">
        <v>64</v>
      </c>
      <c r="M11" s="9">
        <v>66</v>
      </c>
      <c r="N11" s="11">
        <v>68</v>
      </c>
      <c r="O11" s="13">
        <v>81</v>
      </c>
      <c r="P11" s="15">
        <v>76</v>
      </c>
      <c r="Q11" s="17">
        <v>50</v>
      </c>
      <c r="R11" s="22">
        <f t="shared" si="1"/>
        <v>405</v>
      </c>
      <c r="S11" s="36" t="s">
        <v>45</v>
      </c>
      <c r="T11" s="20">
        <f>COUNTIF(E$6:F$267, "Bug")</f>
        <v>22</v>
      </c>
    </row>
    <row r="12" spans="2:20" ht="30" customHeight="1" x14ac:dyDescent="0.25">
      <c r="B12" s="5" t="e" vm="12">
        <v>#VALUE!</v>
      </c>
      <c r="C12" s="5">
        <f t="shared" si="0"/>
        <v>9</v>
      </c>
      <c r="D12" s="1" t="s">
        <v>33</v>
      </c>
      <c r="E12" s="32" t="s">
        <v>30</v>
      </c>
      <c r="F12" s="33" t="s">
        <v>34</v>
      </c>
      <c r="G12" s="1" t="e" vm="10">
        <v>#VALUE!</v>
      </c>
      <c r="H12" s="1" t="s">
        <v>31</v>
      </c>
      <c r="I12" s="1" t="e" vm="3">
        <v>#VALUE!</v>
      </c>
      <c r="J12" s="1" t="s">
        <v>17</v>
      </c>
      <c r="K12" s="1" t="s">
        <v>22</v>
      </c>
      <c r="L12" s="7">
        <v>84</v>
      </c>
      <c r="M12" s="9">
        <v>86</v>
      </c>
      <c r="N12" s="11">
        <v>88</v>
      </c>
      <c r="O12" s="13">
        <v>111</v>
      </c>
      <c r="P12" s="15">
        <v>101</v>
      </c>
      <c r="Q12" s="17">
        <v>60</v>
      </c>
      <c r="R12" s="22">
        <f t="shared" si="1"/>
        <v>530</v>
      </c>
      <c r="S12" s="38" t="s">
        <v>50</v>
      </c>
      <c r="T12" s="20">
        <f>COUNTIF(E$6:F$267, "Ground")</f>
        <v>20</v>
      </c>
    </row>
    <row r="13" spans="2:20" ht="30" customHeight="1" x14ac:dyDescent="0.25">
      <c r="B13" s="5" t="e" vm="13">
        <v>#VALUE!</v>
      </c>
      <c r="C13" s="5">
        <f t="shared" si="0"/>
        <v>10</v>
      </c>
      <c r="D13" s="1" t="s">
        <v>36</v>
      </c>
      <c r="E13" s="34" t="s">
        <v>37</v>
      </c>
      <c r="F13" s="28"/>
      <c r="G13" s="1" t="e" vm="3">
        <v>#VALUE!</v>
      </c>
      <c r="H13" s="1" t="s">
        <v>17</v>
      </c>
      <c r="I13" s="1"/>
      <c r="J13" s="1"/>
      <c r="K13" s="1" t="s">
        <v>25</v>
      </c>
      <c r="L13" s="7">
        <v>45</v>
      </c>
      <c r="M13" s="9">
        <v>60</v>
      </c>
      <c r="N13" s="11">
        <v>45</v>
      </c>
      <c r="O13" s="13">
        <v>25</v>
      </c>
      <c r="P13" s="15">
        <v>45</v>
      </c>
      <c r="Q13" s="17">
        <v>55</v>
      </c>
      <c r="R13" s="22">
        <f t="shared" si="1"/>
        <v>275</v>
      </c>
      <c r="S13" s="23" t="s">
        <v>64</v>
      </c>
      <c r="T13" s="20">
        <f>COUNTIF(E$6:F$267, "Rock")</f>
        <v>22</v>
      </c>
    </row>
    <row r="14" spans="2:20" ht="30" customHeight="1" x14ac:dyDescent="0.25">
      <c r="B14" s="5" t="e" vm="14">
        <v>#VALUE!</v>
      </c>
      <c r="C14" s="5">
        <f t="shared" si="0"/>
        <v>11</v>
      </c>
      <c r="D14" s="1" t="s">
        <v>38</v>
      </c>
      <c r="E14" s="34" t="s">
        <v>37</v>
      </c>
      <c r="F14" s="28"/>
      <c r="G14" s="1" t="e" vm="3">
        <v>#VALUE!</v>
      </c>
      <c r="H14" s="1" t="s">
        <v>17</v>
      </c>
      <c r="I14" s="1"/>
      <c r="J14" s="1"/>
      <c r="K14" s="1" t="s">
        <v>39</v>
      </c>
      <c r="L14" s="7">
        <v>65</v>
      </c>
      <c r="M14" s="9">
        <v>80</v>
      </c>
      <c r="N14" s="11">
        <v>65</v>
      </c>
      <c r="O14" s="13">
        <v>35</v>
      </c>
      <c r="P14" s="15">
        <v>65</v>
      </c>
      <c r="Q14" s="17">
        <v>60</v>
      </c>
      <c r="R14" s="22">
        <f t="shared" si="1"/>
        <v>370</v>
      </c>
      <c r="S14" s="50" t="s">
        <v>65</v>
      </c>
      <c r="T14" s="20">
        <f>COUNTIF(E$6:F$267, "Ghost")</f>
        <v>24</v>
      </c>
    </row>
    <row r="15" spans="2:20" ht="30" customHeight="1" x14ac:dyDescent="0.25">
      <c r="B15" s="5" t="e" vm="15">
        <v>#VALUE!</v>
      </c>
      <c r="C15" s="5">
        <f t="shared" si="0"/>
        <v>12</v>
      </c>
      <c r="D15" s="1" t="s">
        <v>40</v>
      </c>
      <c r="E15" s="34" t="s">
        <v>37</v>
      </c>
      <c r="F15" s="28"/>
      <c r="G15" s="1" t="e" vm="3">
        <v>#VALUE!</v>
      </c>
      <c r="H15" s="1" t="s">
        <v>17</v>
      </c>
      <c r="I15" s="1"/>
      <c r="J15" s="1"/>
      <c r="K15" s="1" t="s">
        <v>22</v>
      </c>
      <c r="L15" s="7">
        <v>85</v>
      </c>
      <c r="M15" s="9">
        <v>110</v>
      </c>
      <c r="N15" s="11">
        <v>90</v>
      </c>
      <c r="O15" s="13">
        <v>45</v>
      </c>
      <c r="P15" s="15">
        <v>90</v>
      </c>
      <c r="Q15" s="17">
        <v>80</v>
      </c>
      <c r="R15" s="22">
        <f t="shared" si="1"/>
        <v>500</v>
      </c>
      <c r="S15" s="55" t="s">
        <v>48</v>
      </c>
      <c r="T15" s="20">
        <f>COUNTIF(E$6:F$267, "Dark")</f>
        <v>28</v>
      </c>
    </row>
    <row r="16" spans="2:20" ht="30" customHeight="1" x14ac:dyDescent="0.25">
      <c r="B16" s="5" t="e" vm="16">
        <v>#VALUE!</v>
      </c>
      <c r="C16" s="5">
        <f t="shared" si="0"/>
        <v>13</v>
      </c>
      <c r="D16" s="1" t="s">
        <v>288</v>
      </c>
      <c r="E16" s="34" t="s">
        <v>37</v>
      </c>
      <c r="F16" s="45" t="s">
        <v>41</v>
      </c>
      <c r="G16" s="1" t="e" vm="17">
        <v>#VALUE!</v>
      </c>
      <c r="H16" s="1" t="s">
        <v>41</v>
      </c>
      <c r="I16" s="1"/>
      <c r="J16" s="1"/>
      <c r="K16" s="1" t="s">
        <v>18</v>
      </c>
      <c r="L16" s="7">
        <v>45</v>
      </c>
      <c r="M16" s="9">
        <v>50</v>
      </c>
      <c r="N16" s="11">
        <v>43</v>
      </c>
      <c r="O16" s="13">
        <v>40</v>
      </c>
      <c r="P16" s="15">
        <v>38</v>
      </c>
      <c r="Q16" s="17">
        <v>62</v>
      </c>
      <c r="R16" s="22">
        <f t="shared" si="1"/>
        <v>278</v>
      </c>
      <c r="S16" s="46" t="s">
        <v>66</v>
      </c>
      <c r="T16" s="20">
        <f>COUNTIF(E$6:F$267, "Ice")</f>
        <v>20</v>
      </c>
    </row>
    <row r="17" spans="2:20" ht="30" customHeight="1" x14ac:dyDescent="0.25">
      <c r="B17" s="5" t="e" vm="18">
        <v>#VALUE!</v>
      </c>
      <c r="C17" s="5">
        <f t="shared" si="0"/>
        <v>14</v>
      </c>
      <c r="D17" s="1" t="s">
        <v>289</v>
      </c>
      <c r="E17" s="29" t="s">
        <v>24</v>
      </c>
      <c r="F17" s="45" t="s">
        <v>41</v>
      </c>
      <c r="G17" s="1" t="e" vm="17">
        <v>#VALUE!</v>
      </c>
      <c r="H17" s="1" t="s">
        <v>41</v>
      </c>
      <c r="I17" s="1"/>
      <c r="J17" s="1"/>
      <c r="K17" s="1" t="s">
        <v>126</v>
      </c>
      <c r="L17" s="7">
        <v>62</v>
      </c>
      <c r="M17" s="9">
        <v>73</v>
      </c>
      <c r="N17" s="11">
        <v>55</v>
      </c>
      <c r="O17" s="13">
        <v>56</v>
      </c>
      <c r="P17" s="15">
        <v>52</v>
      </c>
      <c r="Q17" s="17">
        <v>84</v>
      </c>
      <c r="R17" s="22">
        <f t="shared" si="1"/>
        <v>382</v>
      </c>
      <c r="S17" s="52" t="s">
        <v>34</v>
      </c>
      <c r="T17" s="20">
        <f>COUNTIF(E$6:F$267, "Steel")</f>
        <v>22</v>
      </c>
    </row>
    <row r="18" spans="2:20" ht="30" customHeight="1" x14ac:dyDescent="0.25">
      <c r="B18" s="5" t="e" vm="19">
        <v>#VALUE!</v>
      </c>
      <c r="C18" s="5">
        <f t="shared" si="0"/>
        <v>15</v>
      </c>
      <c r="D18" s="1" t="s">
        <v>290</v>
      </c>
      <c r="E18" s="29" t="s">
        <v>24</v>
      </c>
      <c r="F18" s="45" t="s">
        <v>41</v>
      </c>
      <c r="G18" s="1" t="e" vm="17">
        <v>#VALUE!</v>
      </c>
      <c r="H18" s="1" t="s">
        <v>41</v>
      </c>
      <c r="I18" s="1"/>
      <c r="J18" s="1"/>
      <c r="K18" s="1" t="s">
        <v>22</v>
      </c>
      <c r="L18" s="7">
        <v>78</v>
      </c>
      <c r="M18" s="9">
        <v>81</v>
      </c>
      <c r="N18" s="11">
        <v>71</v>
      </c>
      <c r="O18" s="13">
        <v>74</v>
      </c>
      <c r="P18" s="15">
        <v>69</v>
      </c>
      <c r="Q18" s="17">
        <v>126</v>
      </c>
      <c r="R18" s="22">
        <f t="shared" si="1"/>
        <v>499</v>
      </c>
      <c r="S18" s="44" t="s">
        <v>67</v>
      </c>
      <c r="T18" s="20">
        <f>COUNTIF(E$6:F$267, "Electrik")</f>
        <v>16</v>
      </c>
    </row>
    <row r="19" spans="2:20" ht="30" customHeight="1" x14ac:dyDescent="0.25">
      <c r="B19" s="5" t="e" vm="20">
        <v>#VALUE!</v>
      </c>
      <c r="C19" s="5">
        <f t="shared" si="0"/>
        <v>16</v>
      </c>
      <c r="D19" s="1" t="s">
        <v>44</v>
      </c>
      <c r="E19" s="36" t="s">
        <v>45</v>
      </c>
      <c r="F19" s="28"/>
      <c r="G19" s="1" t="e" vm="21">
        <v>#VALUE!</v>
      </c>
      <c r="H19" s="1" t="s">
        <v>45</v>
      </c>
      <c r="I19" s="1"/>
      <c r="J19" s="1"/>
      <c r="K19" s="1" t="s">
        <v>46</v>
      </c>
      <c r="L19" s="7">
        <v>33</v>
      </c>
      <c r="M19" s="9">
        <v>46</v>
      </c>
      <c r="N19" s="11">
        <v>40</v>
      </c>
      <c r="O19" s="13">
        <v>21</v>
      </c>
      <c r="P19" s="15">
        <v>25</v>
      </c>
      <c r="Q19" s="17">
        <v>45</v>
      </c>
      <c r="R19" s="22">
        <f t="shared" si="1"/>
        <v>210</v>
      </c>
      <c r="S19" s="40" t="s">
        <v>68</v>
      </c>
      <c r="T19" s="20">
        <f>COUNTIF(E$6:F$267, "Poison")</f>
        <v>16</v>
      </c>
    </row>
    <row r="20" spans="2:20" ht="30" customHeight="1" x14ac:dyDescent="0.25">
      <c r="B20" s="5" t="e" vm="22">
        <v>#VALUE!</v>
      </c>
      <c r="C20" s="5">
        <f t="shared" si="0"/>
        <v>17</v>
      </c>
      <c r="D20" s="1" t="s">
        <v>47</v>
      </c>
      <c r="E20" s="36" t="s">
        <v>45</v>
      </c>
      <c r="F20" s="37" t="s">
        <v>48</v>
      </c>
      <c r="G20" s="1" t="e" vm="21">
        <v>#VALUE!</v>
      </c>
      <c r="H20" s="1" t="s">
        <v>45</v>
      </c>
      <c r="I20" s="1"/>
      <c r="J20" s="1"/>
      <c r="K20" s="1" t="s">
        <v>22</v>
      </c>
      <c r="L20" s="7">
        <v>71</v>
      </c>
      <c r="M20" s="9">
        <v>102</v>
      </c>
      <c r="N20" s="11">
        <v>78</v>
      </c>
      <c r="O20" s="13">
        <v>52</v>
      </c>
      <c r="P20" s="15">
        <v>55</v>
      </c>
      <c r="Q20" s="17">
        <v>92</v>
      </c>
      <c r="R20" s="22">
        <f t="shared" si="1"/>
        <v>450</v>
      </c>
      <c r="S20" s="54" t="s">
        <v>60</v>
      </c>
      <c r="T20" s="20">
        <f>COUNTIF(E$6:F$267, "Fairy")</f>
        <v>16</v>
      </c>
    </row>
    <row r="21" spans="2:20" ht="30" customHeight="1" thickBot="1" x14ac:dyDescent="0.3">
      <c r="B21" s="5" t="e" vm="23">
        <v>#VALUE!</v>
      </c>
      <c r="C21" s="5">
        <f t="shared" si="0"/>
        <v>18</v>
      </c>
      <c r="D21" s="1" t="s">
        <v>49</v>
      </c>
      <c r="E21" s="38" t="s">
        <v>50</v>
      </c>
      <c r="F21" s="28"/>
      <c r="G21" s="1" t="e" vm="3">
        <v>#VALUE!</v>
      </c>
      <c r="H21" s="1" t="s">
        <v>17</v>
      </c>
      <c r="I21" s="1"/>
      <c r="J21" s="1"/>
      <c r="K21" s="1" t="s">
        <v>51</v>
      </c>
      <c r="L21" s="7">
        <v>50</v>
      </c>
      <c r="M21" s="9">
        <v>75</v>
      </c>
      <c r="N21" s="11">
        <v>85</v>
      </c>
      <c r="O21" s="13">
        <v>20</v>
      </c>
      <c r="P21" s="15">
        <v>30</v>
      </c>
      <c r="Q21" s="17">
        <v>40</v>
      </c>
      <c r="R21" s="22">
        <f t="shared" si="1"/>
        <v>300</v>
      </c>
      <c r="S21" s="68" t="s">
        <v>69</v>
      </c>
      <c r="T21" s="69">
        <f>COUNTIF(E$6:F$267, "Dragon")</f>
        <v>19</v>
      </c>
    </row>
    <row r="22" spans="2:20" ht="30" customHeight="1" x14ac:dyDescent="0.25">
      <c r="B22" s="5" t="e" vm="24">
        <v>#VALUE!</v>
      </c>
      <c r="C22" s="5">
        <f t="shared" si="0"/>
        <v>19</v>
      </c>
      <c r="D22" s="1" t="s">
        <v>52</v>
      </c>
      <c r="E22" s="38" t="s">
        <v>50</v>
      </c>
      <c r="F22" s="28"/>
      <c r="G22" s="1" t="e" vm="3">
        <v>#VALUE!</v>
      </c>
      <c r="H22" s="1" t="s">
        <v>17</v>
      </c>
      <c r="I22" s="1"/>
      <c r="J22" s="1"/>
      <c r="K22" s="1" t="s">
        <v>22</v>
      </c>
      <c r="L22" s="7">
        <v>75</v>
      </c>
      <c r="M22" s="9">
        <v>100</v>
      </c>
      <c r="N22" s="11">
        <v>110</v>
      </c>
      <c r="O22" s="13">
        <v>45</v>
      </c>
      <c r="P22" s="15">
        <v>55</v>
      </c>
      <c r="Q22" s="17">
        <v>65</v>
      </c>
      <c r="R22" s="22">
        <f t="shared" si="1"/>
        <v>450</v>
      </c>
    </row>
    <row r="23" spans="2:20" ht="30" customHeight="1" x14ac:dyDescent="0.25">
      <c r="B23" s="5" t="e" vm="25">
        <v>#VALUE!</v>
      </c>
      <c r="C23" s="5">
        <f t="shared" si="0"/>
        <v>20</v>
      </c>
      <c r="D23" s="1" t="s">
        <v>53</v>
      </c>
      <c r="E23" s="39" t="s">
        <v>27</v>
      </c>
      <c r="F23" s="28"/>
      <c r="G23" s="1" t="e" vm="3">
        <v>#VALUE!</v>
      </c>
      <c r="H23" s="1" t="s">
        <v>17</v>
      </c>
      <c r="I23" s="1" t="e" vm="26">
        <v>#VALUE!</v>
      </c>
      <c r="J23" s="1" t="s">
        <v>54</v>
      </c>
      <c r="K23" s="1" t="s">
        <v>55</v>
      </c>
      <c r="L23" s="7">
        <v>67</v>
      </c>
      <c r="M23" s="9">
        <v>82</v>
      </c>
      <c r="N23" s="11">
        <v>62</v>
      </c>
      <c r="O23" s="13">
        <v>46</v>
      </c>
      <c r="P23" s="15">
        <v>48</v>
      </c>
      <c r="Q23" s="17">
        <v>43</v>
      </c>
      <c r="R23" s="22">
        <f t="shared" si="1"/>
        <v>348</v>
      </c>
    </row>
    <row r="24" spans="2:20" ht="30" customHeight="1" x14ac:dyDescent="0.25">
      <c r="B24" s="5" t="e" vm="27">
        <v>#VALUE!</v>
      </c>
      <c r="C24" s="5">
        <f t="shared" si="0"/>
        <v>21</v>
      </c>
      <c r="D24" s="1" t="s">
        <v>56</v>
      </c>
      <c r="E24" s="39" t="s">
        <v>27</v>
      </c>
      <c r="F24" s="37" t="s">
        <v>48</v>
      </c>
      <c r="G24" s="1" t="e" vm="3">
        <v>#VALUE!</v>
      </c>
      <c r="H24" s="1" t="s">
        <v>17</v>
      </c>
      <c r="I24" s="1" t="e" vm="26">
        <v>#VALUE!</v>
      </c>
      <c r="J24" s="1" t="s">
        <v>54</v>
      </c>
      <c r="K24" s="1" t="s">
        <v>22</v>
      </c>
      <c r="L24" s="7">
        <v>95</v>
      </c>
      <c r="M24" s="9">
        <v>124</v>
      </c>
      <c r="N24" s="11">
        <v>78</v>
      </c>
      <c r="O24" s="13">
        <v>69</v>
      </c>
      <c r="P24" s="15">
        <v>71</v>
      </c>
      <c r="Q24" s="17">
        <v>58</v>
      </c>
      <c r="R24" s="22">
        <f t="shared" si="1"/>
        <v>495</v>
      </c>
    </row>
    <row r="25" spans="2:20" ht="30" customHeight="1" x14ac:dyDescent="0.25">
      <c r="B25" s="5" t="e" vm="28">
        <v>#VALUE!</v>
      </c>
      <c r="C25" s="5">
        <f t="shared" si="0"/>
        <v>22</v>
      </c>
      <c r="D25" s="1" t="s">
        <v>57</v>
      </c>
      <c r="E25" s="27" t="s">
        <v>16</v>
      </c>
      <c r="F25" s="28"/>
      <c r="G25" s="1" t="e" vm="2">
        <v>#VALUE!</v>
      </c>
      <c r="H25" s="1" t="s">
        <v>16</v>
      </c>
      <c r="I25" s="1"/>
      <c r="J25" s="1"/>
      <c r="K25" s="1" t="s">
        <v>58</v>
      </c>
      <c r="L25" s="7">
        <v>45</v>
      </c>
      <c r="M25" s="9">
        <v>35</v>
      </c>
      <c r="N25" s="11">
        <v>50</v>
      </c>
      <c r="O25" s="13">
        <v>70</v>
      </c>
      <c r="P25" s="15">
        <v>50</v>
      </c>
      <c r="Q25" s="17">
        <v>30</v>
      </c>
      <c r="R25" s="22">
        <f t="shared" si="1"/>
        <v>280</v>
      </c>
    </row>
    <row r="26" spans="2:20" ht="30" customHeight="1" x14ac:dyDescent="0.25">
      <c r="B26" s="5" t="e" vm="29">
        <v>#VALUE!</v>
      </c>
      <c r="C26" s="5">
        <f t="shared" si="0"/>
        <v>23</v>
      </c>
      <c r="D26" s="1" t="s">
        <v>59</v>
      </c>
      <c r="E26" s="27" t="s">
        <v>16</v>
      </c>
      <c r="F26" s="28"/>
      <c r="G26" s="1" t="e" vm="2">
        <v>#VALUE!</v>
      </c>
      <c r="H26" s="1" t="s">
        <v>16</v>
      </c>
      <c r="I26" s="1"/>
      <c r="J26" s="1"/>
      <c r="K26" s="1" t="s">
        <v>22</v>
      </c>
      <c r="L26" s="7">
        <v>70</v>
      </c>
      <c r="M26" s="9">
        <v>60</v>
      </c>
      <c r="N26" s="11">
        <v>75</v>
      </c>
      <c r="O26" s="13">
        <v>110</v>
      </c>
      <c r="P26" s="15">
        <v>75</v>
      </c>
      <c r="Q26" s="17">
        <v>90</v>
      </c>
      <c r="R26" s="22">
        <f t="shared" si="1"/>
        <v>480</v>
      </c>
    </row>
    <row r="27" spans="2:20" ht="30" customHeight="1" x14ac:dyDescent="0.25">
      <c r="B27" s="5" t="e" vm="30">
        <v>#VALUE!</v>
      </c>
      <c r="C27" s="5">
        <f t="shared" si="0"/>
        <v>24</v>
      </c>
      <c r="D27" s="1" t="s">
        <v>93</v>
      </c>
      <c r="E27" s="27" t="s">
        <v>16</v>
      </c>
      <c r="F27" s="24" t="s">
        <v>60</v>
      </c>
      <c r="G27" s="1" t="e" vm="2">
        <v>#VALUE!</v>
      </c>
      <c r="H27" s="1" t="s">
        <v>16</v>
      </c>
      <c r="I27" s="1" t="e" vm="31">
        <v>#VALUE!</v>
      </c>
      <c r="J27" s="1" t="s">
        <v>60</v>
      </c>
      <c r="K27" s="1" t="s">
        <v>58</v>
      </c>
      <c r="L27" s="7">
        <v>40</v>
      </c>
      <c r="M27" s="9">
        <v>27</v>
      </c>
      <c r="N27" s="11">
        <v>60</v>
      </c>
      <c r="O27" s="13">
        <v>37</v>
      </c>
      <c r="P27" s="15">
        <v>50</v>
      </c>
      <c r="Q27" s="17">
        <v>66</v>
      </c>
      <c r="R27" s="22">
        <f t="shared" si="1"/>
        <v>280</v>
      </c>
    </row>
    <row r="28" spans="2:20" ht="30" customHeight="1" x14ac:dyDescent="0.25">
      <c r="B28" s="5" t="e" vm="32">
        <v>#VALUE!</v>
      </c>
      <c r="C28" s="5">
        <f t="shared" si="0"/>
        <v>25</v>
      </c>
      <c r="D28" s="1" t="s">
        <v>61</v>
      </c>
      <c r="E28" s="27" t="s">
        <v>16</v>
      </c>
      <c r="F28" s="24" t="s">
        <v>60</v>
      </c>
      <c r="G28" s="1" t="e" vm="2">
        <v>#VALUE!</v>
      </c>
      <c r="H28" s="1" t="s">
        <v>16</v>
      </c>
      <c r="I28" s="1" t="e" vm="31">
        <v>#VALUE!</v>
      </c>
      <c r="J28" s="1" t="s">
        <v>60</v>
      </c>
      <c r="K28" s="1" t="s">
        <v>22</v>
      </c>
      <c r="L28" s="7">
        <v>60</v>
      </c>
      <c r="M28" s="9">
        <v>67</v>
      </c>
      <c r="N28" s="11">
        <v>85</v>
      </c>
      <c r="O28" s="13">
        <v>77</v>
      </c>
      <c r="P28" s="15">
        <v>75</v>
      </c>
      <c r="Q28" s="17">
        <v>116</v>
      </c>
      <c r="R28" s="22">
        <f t="shared" si="1"/>
        <v>480</v>
      </c>
    </row>
    <row r="29" spans="2:20" ht="30" customHeight="1" x14ac:dyDescent="0.25">
      <c r="B29" s="5" t="e" vm="33">
        <v>#VALUE!</v>
      </c>
      <c r="C29" s="5">
        <f t="shared" si="0"/>
        <v>26</v>
      </c>
      <c r="D29" s="1" t="s">
        <v>70</v>
      </c>
      <c r="E29" s="23" t="s">
        <v>64</v>
      </c>
      <c r="F29" s="28"/>
      <c r="G29" s="1" t="e" vm="34">
        <v>#VALUE!</v>
      </c>
      <c r="H29" s="1" t="s">
        <v>71</v>
      </c>
      <c r="I29" s="1"/>
      <c r="J29" s="1"/>
      <c r="K29" s="1" t="s">
        <v>72</v>
      </c>
      <c r="L29" s="7">
        <v>55</v>
      </c>
      <c r="M29" s="9">
        <v>75</v>
      </c>
      <c r="N29" s="11">
        <v>85</v>
      </c>
      <c r="O29" s="13">
        <v>25</v>
      </c>
      <c r="P29" s="15">
        <v>25</v>
      </c>
      <c r="Q29" s="17">
        <v>15</v>
      </c>
      <c r="R29" s="22">
        <f t="shared" si="1"/>
        <v>280</v>
      </c>
    </row>
    <row r="30" spans="2:20" ht="30" customHeight="1" x14ac:dyDescent="0.25">
      <c r="B30" s="5" t="e" vm="35">
        <v>#VALUE!</v>
      </c>
      <c r="C30" s="5">
        <f t="shared" si="0"/>
        <v>27</v>
      </c>
      <c r="D30" s="1" t="s">
        <v>73</v>
      </c>
      <c r="E30" s="23" t="s">
        <v>64</v>
      </c>
      <c r="F30" s="28"/>
      <c r="G30" s="1" t="e" vm="34">
        <v>#VALUE!</v>
      </c>
      <c r="H30" s="1" t="s">
        <v>71</v>
      </c>
      <c r="I30" s="1"/>
      <c r="J30" s="1"/>
      <c r="K30" s="1" t="s">
        <v>260</v>
      </c>
      <c r="L30" s="7">
        <v>70</v>
      </c>
      <c r="M30" s="9">
        <v>105</v>
      </c>
      <c r="N30" s="11">
        <v>105</v>
      </c>
      <c r="O30" s="13">
        <v>50</v>
      </c>
      <c r="P30" s="15">
        <v>40</v>
      </c>
      <c r="Q30" s="17">
        <v>20</v>
      </c>
      <c r="R30" s="22">
        <f t="shared" si="1"/>
        <v>390</v>
      </c>
    </row>
    <row r="31" spans="2:20" ht="30" customHeight="1" x14ac:dyDescent="0.25">
      <c r="B31" s="5" t="e" vm="36">
        <v>#VALUE!</v>
      </c>
      <c r="C31" s="5">
        <f t="shared" si="0"/>
        <v>28</v>
      </c>
      <c r="D31" s="1" t="s">
        <v>74</v>
      </c>
      <c r="E31" s="23" t="s">
        <v>64</v>
      </c>
      <c r="F31" s="28"/>
      <c r="G31" s="1" t="e" vm="34">
        <v>#VALUE!</v>
      </c>
      <c r="H31" s="1" t="s">
        <v>71</v>
      </c>
      <c r="I31" s="1"/>
      <c r="J31" s="1"/>
      <c r="K31" s="1" t="s">
        <v>22</v>
      </c>
      <c r="L31" s="7">
        <v>85</v>
      </c>
      <c r="M31" s="9">
        <v>135</v>
      </c>
      <c r="N31" s="11">
        <v>130</v>
      </c>
      <c r="O31" s="13">
        <v>60</v>
      </c>
      <c r="P31" s="15">
        <v>80</v>
      </c>
      <c r="Q31" s="17">
        <v>25</v>
      </c>
      <c r="R31" s="22">
        <f t="shared" si="1"/>
        <v>515</v>
      </c>
    </row>
    <row r="32" spans="2:20" ht="30" customHeight="1" x14ac:dyDescent="0.25">
      <c r="B32" s="5" t="e" vm="37">
        <v>#VALUE!</v>
      </c>
      <c r="C32" s="5">
        <f t="shared" si="0"/>
        <v>29</v>
      </c>
      <c r="D32" s="1" t="s">
        <v>75</v>
      </c>
      <c r="E32" s="27" t="s">
        <v>16</v>
      </c>
      <c r="F32" s="28"/>
      <c r="G32" s="1" t="e" vm="31">
        <v>#VALUE!</v>
      </c>
      <c r="H32" s="1" t="s">
        <v>60</v>
      </c>
      <c r="I32" s="1" t="e" vm="2">
        <v>#VALUE!</v>
      </c>
      <c r="J32" s="1" t="s">
        <v>16</v>
      </c>
      <c r="K32" s="1" t="s">
        <v>76</v>
      </c>
      <c r="L32" s="7">
        <v>60</v>
      </c>
      <c r="M32" s="9">
        <v>40</v>
      </c>
      <c r="N32" s="11">
        <v>60</v>
      </c>
      <c r="O32" s="13">
        <v>40</v>
      </c>
      <c r="P32" s="15">
        <v>60</v>
      </c>
      <c r="Q32" s="17">
        <v>35</v>
      </c>
      <c r="R32" s="22">
        <f t="shared" si="1"/>
        <v>295</v>
      </c>
    </row>
    <row r="33" spans="2:18" ht="30" customHeight="1" x14ac:dyDescent="0.25">
      <c r="B33" s="5" t="e" vm="38">
        <v>#VALUE!</v>
      </c>
      <c r="C33" s="5">
        <f t="shared" si="0"/>
        <v>30</v>
      </c>
      <c r="D33" s="1" t="s">
        <v>77</v>
      </c>
      <c r="E33" s="27" t="s">
        <v>16</v>
      </c>
      <c r="F33" s="31" t="s">
        <v>27</v>
      </c>
      <c r="G33" s="1" t="e" vm="31">
        <v>#VALUE!</v>
      </c>
      <c r="H33" s="1" t="s">
        <v>60</v>
      </c>
      <c r="I33" s="1" t="e" vm="2">
        <v>#VALUE!</v>
      </c>
      <c r="J33" s="1" t="s">
        <v>16</v>
      </c>
      <c r="K33" s="1" t="s">
        <v>22</v>
      </c>
      <c r="L33" s="7">
        <v>60</v>
      </c>
      <c r="M33" s="9">
        <v>130</v>
      </c>
      <c r="N33" s="11">
        <v>80</v>
      </c>
      <c r="O33" s="13">
        <v>60</v>
      </c>
      <c r="P33" s="15">
        <v>60</v>
      </c>
      <c r="Q33" s="17">
        <v>70</v>
      </c>
      <c r="R33" s="22">
        <f t="shared" si="1"/>
        <v>460</v>
      </c>
    </row>
    <row r="34" spans="2:18" ht="30" customHeight="1" x14ac:dyDescent="0.25">
      <c r="B34" s="5" t="e" vm="39">
        <v>#VALUE!</v>
      </c>
      <c r="C34" s="5">
        <f t="shared" si="0"/>
        <v>31</v>
      </c>
      <c r="D34" s="1" t="s">
        <v>79</v>
      </c>
      <c r="E34" s="40" t="s">
        <v>68</v>
      </c>
      <c r="F34" s="41" t="s">
        <v>37</v>
      </c>
      <c r="G34" s="1" t="e" vm="3">
        <v>#VALUE!</v>
      </c>
      <c r="H34" s="1" t="s">
        <v>17</v>
      </c>
      <c r="I34" s="1"/>
      <c r="J34" s="1"/>
      <c r="K34" s="1" t="s">
        <v>78</v>
      </c>
      <c r="L34" s="7">
        <v>40</v>
      </c>
      <c r="M34" s="9">
        <v>65</v>
      </c>
      <c r="N34" s="11">
        <v>35</v>
      </c>
      <c r="O34" s="13">
        <v>40</v>
      </c>
      <c r="P34" s="15">
        <v>35</v>
      </c>
      <c r="Q34" s="17">
        <v>75</v>
      </c>
      <c r="R34" s="22">
        <f t="shared" si="1"/>
        <v>290</v>
      </c>
    </row>
    <row r="35" spans="2:18" ht="30" customHeight="1" x14ac:dyDescent="0.25">
      <c r="B35" s="5" t="e" vm="40">
        <v>#VALUE!</v>
      </c>
      <c r="C35" s="5">
        <f t="shared" si="0"/>
        <v>32</v>
      </c>
      <c r="D35" s="1" t="s">
        <v>80</v>
      </c>
      <c r="E35" s="40" t="s">
        <v>68</v>
      </c>
      <c r="F35" s="41" t="s">
        <v>37</v>
      </c>
      <c r="G35" s="1" t="e" vm="3">
        <v>#VALUE!</v>
      </c>
      <c r="H35" s="1" t="s">
        <v>17</v>
      </c>
      <c r="I35" s="1"/>
      <c r="J35" s="1"/>
      <c r="K35" s="1" t="s">
        <v>22</v>
      </c>
      <c r="L35" s="7">
        <v>63</v>
      </c>
      <c r="M35" s="9">
        <v>95</v>
      </c>
      <c r="N35" s="11">
        <v>65</v>
      </c>
      <c r="O35" s="13">
        <v>80</v>
      </c>
      <c r="P35" s="15">
        <v>72</v>
      </c>
      <c r="Q35" s="17">
        <v>110</v>
      </c>
      <c r="R35" s="22">
        <f t="shared" si="1"/>
        <v>485</v>
      </c>
    </row>
    <row r="36" spans="2:18" ht="30" customHeight="1" x14ac:dyDescent="0.25">
      <c r="B36" s="5" t="e" vm="41">
        <v>#VALUE!</v>
      </c>
      <c r="C36" s="5">
        <f t="shared" si="0"/>
        <v>33</v>
      </c>
      <c r="D36" s="1" t="s">
        <v>81</v>
      </c>
      <c r="E36" s="32" t="s">
        <v>30</v>
      </c>
      <c r="F36" s="42" t="s">
        <v>45</v>
      </c>
      <c r="G36" s="1" t="e" vm="10">
        <v>#VALUE!</v>
      </c>
      <c r="H36" s="1" t="s">
        <v>31</v>
      </c>
      <c r="I36" s="1" t="e" vm="21">
        <v>#VALUE!</v>
      </c>
      <c r="J36" s="1" t="s">
        <v>45</v>
      </c>
      <c r="K36" s="1" t="s">
        <v>51</v>
      </c>
      <c r="L36" s="7">
        <v>38</v>
      </c>
      <c r="M36" s="9">
        <v>40</v>
      </c>
      <c r="N36" s="11">
        <v>52</v>
      </c>
      <c r="O36" s="13">
        <v>40</v>
      </c>
      <c r="P36" s="15">
        <v>72</v>
      </c>
      <c r="Q36" s="17">
        <v>27</v>
      </c>
      <c r="R36" s="22">
        <f t="shared" si="1"/>
        <v>269</v>
      </c>
    </row>
    <row r="37" spans="2:18" ht="30" customHeight="1" x14ac:dyDescent="0.25">
      <c r="B37" s="5" t="e" vm="42">
        <v>#VALUE!</v>
      </c>
      <c r="C37" s="5">
        <f t="shared" si="0"/>
        <v>34</v>
      </c>
      <c r="D37" s="1" t="s">
        <v>99</v>
      </c>
      <c r="E37" s="32" t="s">
        <v>30</v>
      </c>
      <c r="F37" s="42" t="s">
        <v>45</v>
      </c>
      <c r="G37" s="1" t="e" vm="10">
        <v>#VALUE!</v>
      </c>
      <c r="H37" s="1" t="s">
        <v>31</v>
      </c>
      <c r="I37" s="1" t="e" vm="21">
        <v>#VALUE!</v>
      </c>
      <c r="J37" s="1" t="s">
        <v>45</v>
      </c>
      <c r="K37" s="1" t="s">
        <v>22</v>
      </c>
      <c r="L37" s="7">
        <v>68</v>
      </c>
      <c r="M37" s="9">
        <v>70</v>
      </c>
      <c r="N37" s="11">
        <v>92</v>
      </c>
      <c r="O37" s="13">
        <v>50</v>
      </c>
      <c r="P37" s="15">
        <v>132</v>
      </c>
      <c r="Q37" s="17">
        <v>42</v>
      </c>
      <c r="R37" s="22">
        <f t="shared" si="1"/>
        <v>454</v>
      </c>
    </row>
    <row r="38" spans="2:18" ht="30" customHeight="1" x14ac:dyDescent="0.25">
      <c r="B38" s="5" t="e" vm="43">
        <v>#VALUE!</v>
      </c>
      <c r="C38" s="5">
        <f t="shared" si="0"/>
        <v>35</v>
      </c>
      <c r="D38" s="1" t="s">
        <v>87</v>
      </c>
      <c r="E38" s="27" t="s">
        <v>16</v>
      </c>
      <c r="F38" s="28"/>
      <c r="G38" s="1" t="e" vm="3">
        <v>#VALUE!</v>
      </c>
      <c r="H38" s="1" t="s">
        <v>17</v>
      </c>
      <c r="I38" s="1"/>
      <c r="J38" s="1"/>
      <c r="K38" s="1" t="s">
        <v>39</v>
      </c>
      <c r="L38" s="7">
        <v>66</v>
      </c>
      <c r="M38" s="9">
        <v>65</v>
      </c>
      <c r="N38" s="11">
        <v>48</v>
      </c>
      <c r="O38" s="13">
        <v>62</v>
      </c>
      <c r="P38" s="15">
        <v>57</v>
      </c>
      <c r="Q38" s="17">
        <v>52</v>
      </c>
      <c r="R38" s="22">
        <f t="shared" si="1"/>
        <v>350</v>
      </c>
    </row>
    <row r="39" spans="2:18" ht="30" customHeight="1" x14ac:dyDescent="0.25">
      <c r="B39" s="5" t="e" vm="44">
        <v>#VALUE!</v>
      </c>
      <c r="C39" s="5">
        <f t="shared" si="0"/>
        <v>36</v>
      </c>
      <c r="D39" s="1" t="s">
        <v>88</v>
      </c>
      <c r="E39" s="27" t="s">
        <v>16</v>
      </c>
      <c r="F39" s="28"/>
      <c r="G39" s="1" t="e" vm="3">
        <v>#VALUE!</v>
      </c>
      <c r="H39" s="1" t="s">
        <v>17</v>
      </c>
      <c r="I39" s="1"/>
      <c r="J39" s="1"/>
      <c r="K39" s="1" t="s">
        <v>22</v>
      </c>
      <c r="L39" s="7">
        <v>123</v>
      </c>
      <c r="M39" s="9">
        <v>100</v>
      </c>
      <c r="N39" s="11">
        <v>62</v>
      </c>
      <c r="O39" s="13">
        <v>97</v>
      </c>
      <c r="P39" s="15">
        <v>81</v>
      </c>
      <c r="Q39" s="17">
        <v>68</v>
      </c>
      <c r="R39" s="22">
        <f t="shared" si="1"/>
        <v>531</v>
      </c>
    </row>
    <row r="40" spans="2:18" ht="30" customHeight="1" x14ac:dyDescent="0.25">
      <c r="B40" s="5" t="e" vm="45">
        <v>#VALUE!</v>
      </c>
      <c r="C40" s="5">
        <f t="shared" si="0"/>
        <v>37</v>
      </c>
      <c r="D40" s="1" t="s">
        <v>82</v>
      </c>
      <c r="E40" s="34" t="s">
        <v>37</v>
      </c>
      <c r="F40" s="28"/>
      <c r="G40" s="1" t="e" vm="3">
        <v>#VALUE!</v>
      </c>
      <c r="H40" s="1" t="s">
        <v>17</v>
      </c>
      <c r="I40" s="1"/>
      <c r="J40" s="1"/>
      <c r="K40" s="1" t="s">
        <v>83</v>
      </c>
      <c r="L40" s="7">
        <v>60</v>
      </c>
      <c r="M40" s="9">
        <v>80</v>
      </c>
      <c r="N40" s="11">
        <v>50</v>
      </c>
      <c r="O40" s="13">
        <v>50</v>
      </c>
      <c r="P40" s="15">
        <v>50</v>
      </c>
      <c r="Q40" s="17">
        <v>40</v>
      </c>
      <c r="R40" s="22">
        <f t="shared" si="1"/>
        <v>330</v>
      </c>
    </row>
    <row r="41" spans="2:18" ht="30" customHeight="1" x14ac:dyDescent="0.25">
      <c r="B41" s="5" t="e" vm="46">
        <v>#VALUE!</v>
      </c>
      <c r="C41" s="5">
        <f t="shared" si="0"/>
        <v>38</v>
      </c>
      <c r="D41" s="1" t="s">
        <v>84</v>
      </c>
      <c r="E41" s="34" t="s">
        <v>37</v>
      </c>
      <c r="F41" s="28"/>
      <c r="G41" s="1" t="e" vm="3">
        <v>#VALUE!</v>
      </c>
      <c r="H41" s="1" t="s">
        <v>17</v>
      </c>
      <c r="I41" s="1"/>
      <c r="J41" s="1"/>
      <c r="K41" s="1" t="s">
        <v>85</v>
      </c>
      <c r="L41" s="7">
        <v>90</v>
      </c>
      <c r="M41" s="9">
        <v>130</v>
      </c>
      <c r="N41" s="11">
        <v>75</v>
      </c>
      <c r="O41" s="13">
        <v>75</v>
      </c>
      <c r="P41" s="15">
        <v>75</v>
      </c>
      <c r="Q41" s="17">
        <v>55</v>
      </c>
      <c r="R41" s="22">
        <f t="shared" si="1"/>
        <v>500</v>
      </c>
    </row>
    <row r="42" spans="2:18" ht="30" customHeight="1" x14ac:dyDescent="0.25">
      <c r="B42" s="5" t="e" vm="47">
        <v>#VALUE!</v>
      </c>
      <c r="C42" s="5">
        <f t="shared" si="0"/>
        <v>39</v>
      </c>
      <c r="D42" s="1" t="s">
        <v>86</v>
      </c>
      <c r="E42" s="38" t="s">
        <v>50</v>
      </c>
      <c r="F42" s="41" t="s">
        <v>37</v>
      </c>
      <c r="G42" s="1" t="e" vm="3">
        <v>#VALUE!</v>
      </c>
      <c r="H42" s="1" t="s">
        <v>17</v>
      </c>
      <c r="I42" s="1"/>
      <c r="J42" s="1"/>
      <c r="K42" s="1" t="s">
        <v>22</v>
      </c>
      <c r="L42" s="7">
        <v>130</v>
      </c>
      <c r="M42" s="9">
        <v>140</v>
      </c>
      <c r="N42" s="11">
        <v>105</v>
      </c>
      <c r="O42" s="13">
        <v>45</v>
      </c>
      <c r="P42" s="15">
        <v>80</v>
      </c>
      <c r="Q42" s="17">
        <v>50</v>
      </c>
      <c r="R42" s="22">
        <f t="shared" si="1"/>
        <v>550</v>
      </c>
    </row>
    <row r="43" spans="2:18" ht="30" customHeight="1" x14ac:dyDescent="0.25">
      <c r="B43" s="5" t="e" vm="48">
        <v>#VALUE!</v>
      </c>
      <c r="C43" s="5">
        <f t="shared" si="0"/>
        <v>40</v>
      </c>
      <c r="D43" s="1" t="s">
        <v>89</v>
      </c>
      <c r="E43" s="27" t="s">
        <v>16</v>
      </c>
      <c r="F43" s="43" t="s">
        <v>69</v>
      </c>
      <c r="G43" s="1" t="e" vm="2">
        <v>#VALUE!</v>
      </c>
      <c r="H43" s="1" t="s">
        <v>16</v>
      </c>
      <c r="I43" s="1" t="e" vm="49">
        <v>#VALUE!</v>
      </c>
      <c r="J43" s="1" t="s">
        <v>69</v>
      </c>
      <c r="K43" s="1" t="s">
        <v>90</v>
      </c>
      <c r="L43" s="7">
        <v>40</v>
      </c>
      <c r="M43" s="9">
        <v>40</v>
      </c>
      <c r="N43" s="11">
        <v>80</v>
      </c>
      <c r="O43" s="13">
        <v>40</v>
      </c>
      <c r="P43" s="15">
        <v>40</v>
      </c>
      <c r="Q43" s="17">
        <v>20</v>
      </c>
      <c r="R43" s="22">
        <f t="shared" si="1"/>
        <v>260</v>
      </c>
    </row>
    <row r="44" spans="2:18" ht="30" customHeight="1" x14ac:dyDescent="0.25">
      <c r="B44" s="5" t="e" vm="50">
        <v>#VALUE!</v>
      </c>
      <c r="C44" s="5">
        <f t="shared" si="0"/>
        <v>41</v>
      </c>
      <c r="D44" s="1" t="s">
        <v>91</v>
      </c>
      <c r="E44" s="27" t="s">
        <v>16</v>
      </c>
      <c r="F44" s="43" t="s">
        <v>69</v>
      </c>
      <c r="G44" s="1" t="e" vm="2">
        <v>#VALUE!</v>
      </c>
      <c r="H44" s="1" t="s">
        <v>16</v>
      </c>
      <c r="I44" s="1" t="e" vm="49">
        <v>#VALUE!</v>
      </c>
      <c r="J44" s="1" t="s">
        <v>69</v>
      </c>
      <c r="K44" s="1" t="s">
        <v>22</v>
      </c>
      <c r="L44" s="7">
        <v>70</v>
      </c>
      <c r="M44" s="9">
        <v>110</v>
      </c>
      <c r="N44" s="11">
        <v>80</v>
      </c>
      <c r="O44" s="13">
        <v>95</v>
      </c>
      <c r="P44" s="15">
        <v>60</v>
      </c>
      <c r="Q44" s="17">
        <v>70</v>
      </c>
      <c r="R44" s="22">
        <f t="shared" si="1"/>
        <v>485</v>
      </c>
    </row>
    <row r="45" spans="2:18" ht="30" customHeight="1" x14ac:dyDescent="0.25">
      <c r="B45" s="5" t="e" vm="51">
        <v>#VALUE!</v>
      </c>
      <c r="C45" s="5">
        <f t="shared" si="0"/>
        <v>42</v>
      </c>
      <c r="D45" s="1" t="s">
        <v>92</v>
      </c>
      <c r="E45" s="27" t="s">
        <v>16</v>
      </c>
      <c r="F45" s="43" t="s">
        <v>69</v>
      </c>
      <c r="G45" s="1" t="e" vm="2">
        <v>#VALUE!</v>
      </c>
      <c r="H45" s="1" t="s">
        <v>16</v>
      </c>
      <c r="I45" s="1" t="e" vm="49">
        <v>#VALUE!</v>
      </c>
      <c r="J45" s="1" t="s">
        <v>69</v>
      </c>
      <c r="K45" s="1" t="s">
        <v>22</v>
      </c>
      <c r="L45" s="7">
        <v>110</v>
      </c>
      <c r="M45" s="9">
        <v>85</v>
      </c>
      <c r="N45" s="11">
        <v>80</v>
      </c>
      <c r="O45" s="13">
        <v>100</v>
      </c>
      <c r="P45" s="15">
        <v>80</v>
      </c>
      <c r="Q45" s="17">
        <v>30</v>
      </c>
      <c r="R45" s="22">
        <f t="shared" si="1"/>
        <v>485</v>
      </c>
    </row>
    <row r="46" spans="2:18" ht="30" customHeight="1" x14ac:dyDescent="0.25">
      <c r="B46" s="5" t="e" vm="52">
        <v>#VALUE!</v>
      </c>
      <c r="C46" s="5">
        <f t="shared" si="0"/>
        <v>43</v>
      </c>
      <c r="D46" s="1" t="s">
        <v>94</v>
      </c>
      <c r="E46" s="44" t="s">
        <v>67</v>
      </c>
      <c r="F46" s="45" t="s">
        <v>41</v>
      </c>
      <c r="G46" s="1" t="e" vm="3">
        <v>#VALUE!</v>
      </c>
      <c r="H46" s="1" t="s">
        <v>17</v>
      </c>
      <c r="I46" s="1"/>
      <c r="J46" s="1"/>
      <c r="K46" s="1" t="s">
        <v>22</v>
      </c>
      <c r="L46" s="7">
        <v>55</v>
      </c>
      <c r="M46" s="9">
        <v>75</v>
      </c>
      <c r="N46" s="11">
        <v>60</v>
      </c>
      <c r="O46" s="13">
        <v>75</v>
      </c>
      <c r="P46" s="15">
        <v>60</v>
      </c>
      <c r="Q46" s="17">
        <v>103</v>
      </c>
      <c r="R46" s="22">
        <f t="shared" si="1"/>
        <v>428</v>
      </c>
    </row>
    <row r="47" spans="2:18" ht="30" customHeight="1" x14ac:dyDescent="0.25">
      <c r="B47" t="e" vm="53">
        <v>#VALUE!</v>
      </c>
      <c r="C47" s="5">
        <f t="shared" si="0"/>
        <v>44</v>
      </c>
      <c r="D47" s="1" t="s">
        <v>311</v>
      </c>
      <c r="E47" s="34" t="s">
        <v>37</v>
      </c>
      <c r="F47" s="24" t="s">
        <v>60</v>
      </c>
      <c r="G47" s="1" t="e" vm="10">
        <v>#VALUE!</v>
      </c>
      <c r="H47" s="1" t="s">
        <v>31</v>
      </c>
      <c r="I47" s="1" t="e" vm="31">
        <v>#VALUE!</v>
      </c>
      <c r="J47" s="1" t="s">
        <v>60</v>
      </c>
      <c r="K47" s="1" t="s">
        <v>314</v>
      </c>
      <c r="L47" s="7">
        <v>50</v>
      </c>
      <c r="M47" s="9">
        <v>20</v>
      </c>
      <c r="N47" s="11">
        <v>40</v>
      </c>
      <c r="O47" s="13">
        <v>20</v>
      </c>
      <c r="P47" s="15">
        <v>40</v>
      </c>
      <c r="Q47" s="17">
        <v>20</v>
      </c>
      <c r="R47" s="22">
        <f t="shared" si="1"/>
        <v>190</v>
      </c>
    </row>
    <row r="48" spans="2:18" ht="30" customHeight="1" x14ac:dyDescent="0.25">
      <c r="B48" t="e" vm="54">
        <v>#VALUE!</v>
      </c>
      <c r="C48" s="5">
        <f t="shared" si="0"/>
        <v>45</v>
      </c>
      <c r="D48" s="1" t="s">
        <v>312</v>
      </c>
      <c r="E48" s="32" t="s">
        <v>30</v>
      </c>
      <c r="F48" s="24" t="s">
        <v>60</v>
      </c>
      <c r="G48" s="1" t="e" vm="10">
        <v>#VALUE!</v>
      </c>
      <c r="H48" s="1" t="s">
        <v>31</v>
      </c>
      <c r="I48" s="1" t="e" vm="31">
        <v>#VALUE!</v>
      </c>
      <c r="J48" s="1" t="s">
        <v>60</v>
      </c>
      <c r="K48" s="1" t="s">
        <v>42</v>
      </c>
      <c r="L48" s="7">
        <v>70</v>
      </c>
      <c r="M48" s="9">
        <v>20</v>
      </c>
      <c r="N48" s="11">
        <v>50</v>
      </c>
      <c r="O48" s="13">
        <v>20</v>
      </c>
      <c r="P48" s="15">
        <v>50</v>
      </c>
      <c r="Q48" s="17">
        <v>40</v>
      </c>
      <c r="R48" s="22">
        <f t="shared" si="1"/>
        <v>250</v>
      </c>
    </row>
    <row r="49" spans="2:18" ht="30" customHeight="1" x14ac:dyDescent="0.25">
      <c r="B49" t="e" vm="55">
        <v>#VALUE!</v>
      </c>
      <c r="C49" s="5">
        <f t="shared" si="0"/>
        <v>46</v>
      </c>
      <c r="D49" s="1" t="s">
        <v>313</v>
      </c>
      <c r="E49" s="32" t="s">
        <v>30</v>
      </c>
      <c r="F49" s="24" t="s">
        <v>60</v>
      </c>
      <c r="G49" s="1" t="e" vm="10">
        <v>#VALUE!</v>
      </c>
      <c r="H49" s="1" t="s">
        <v>31</v>
      </c>
      <c r="I49" s="1" t="e" vm="31">
        <v>#VALUE!</v>
      </c>
      <c r="J49" s="1" t="s">
        <v>60</v>
      </c>
      <c r="K49" s="1"/>
      <c r="L49" s="7">
        <v>100</v>
      </c>
      <c r="M49" s="9">
        <v>50</v>
      </c>
      <c r="N49" s="11">
        <v>80</v>
      </c>
      <c r="O49" s="13">
        <v>60</v>
      </c>
      <c r="P49" s="15">
        <v>80</v>
      </c>
      <c r="Q49" s="17">
        <v>50</v>
      </c>
      <c r="R49" s="22"/>
    </row>
    <row r="50" spans="2:18" ht="30" customHeight="1" x14ac:dyDescent="0.25">
      <c r="B50" s="5" t="e" vm="56">
        <v>#VALUE!</v>
      </c>
      <c r="C50" s="5">
        <f t="shared" si="0"/>
        <v>47</v>
      </c>
      <c r="D50" s="1" t="s">
        <v>95</v>
      </c>
      <c r="E50" s="46" t="s">
        <v>66</v>
      </c>
      <c r="F50" s="28"/>
      <c r="G50" s="1" t="e" vm="31">
        <v>#VALUE!</v>
      </c>
      <c r="H50" s="1" t="s">
        <v>60</v>
      </c>
      <c r="I50" s="1" t="e" vm="34">
        <v>#VALUE!</v>
      </c>
      <c r="J50" s="1" t="s">
        <v>71</v>
      </c>
      <c r="K50" s="1" t="s">
        <v>96</v>
      </c>
      <c r="L50" s="7">
        <v>50</v>
      </c>
      <c r="M50" s="9">
        <v>50</v>
      </c>
      <c r="N50" s="11">
        <v>50</v>
      </c>
      <c r="O50" s="13">
        <v>50</v>
      </c>
      <c r="P50" s="15">
        <v>50</v>
      </c>
      <c r="Q50" s="17">
        <v>50</v>
      </c>
      <c r="R50" s="22">
        <f t="shared" si="1"/>
        <v>300</v>
      </c>
    </row>
    <row r="51" spans="2:18" ht="30" customHeight="1" x14ac:dyDescent="0.25">
      <c r="B51" s="5" t="e" vm="57">
        <v>#VALUE!</v>
      </c>
      <c r="C51" s="5">
        <f t="shared" si="0"/>
        <v>48</v>
      </c>
      <c r="D51" s="1" t="s">
        <v>97</v>
      </c>
      <c r="E51" s="46" t="s">
        <v>66</v>
      </c>
      <c r="F51" s="28"/>
      <c r="G51" s="1" t="e" vm="31">
        <v>#VALUE!</v>
      </c>
      <c r="H51" s="1" t="s">
        <v>60</v>
      </c>
      <c r="I51" s="1" t="e" vm="34">
        <v>#VALUE!</v>
      </c>
      <c r="J51" s="1" t="s">
        <v>71</v>
      </c>
      <c r="K51" s="1" t="s">
        <v>22</v>
      </c>
      <c r="L51" s="7">
        <v>80</v>
      </c>
      <c r="M51" s="9">
        <v>80</v>
      </c>
      <c r="N51" s="11">
        <v>80</v>
      </c>
      <c r="O51" s="13">
        <v>80</v>
      </c>
      <c r="P51" s="15">
        <v>80</v>
      </c>
      <c r="Q51" s="17">
        <v>80</v>
      </c>
      <c r="R51" s="22">
        <f t="shared" si="1"/>
        <v>480</v>
      </c>
    </row>
    <row r="52" spans="2:18" ht="30" customHeight="1" x14ac:dyDescent="0.25">
      <c r="B52" s="5" t="e" vm="58">
        <v>#VALUE!</v>
      </c>
      <c r="C52" s="5">
        <f t="shared" si="0"/>
        <v>49</v>
      </c>
      <c r="D52" s="1" t="s">
        <v>98</v>
      </c>
      <c r="E52" s="46" t="s">
        <v>66</v>
      </c>
      <c r="F52" s="47" t="s">
        <v>65</v>
      </c>
      <c r="G52" s="1" t="e" vm="31">
        <v>#VALUE!</v>
      </c>
      <c r="H52" s="1" t="s">
        <v>60</v>
      </c>
      <c r="I52" s="1" t="e" vm="34">
        <v>#VALUE!</v>
      </c>
      <c r="J52" s="1" t="s">
        <v>71</v>
      </c>
      <c r="K52" s="1" t="s">
        <v>22</v>
      </c>
      <c r="L52" s="7">
        <v>70</v>
      </c>
      <c r="M52" s="9">
        <v>80</v>
      </c>
      <c r="N52" s="11">
        <v>70</v>
      </c>
      <c r="O52" s="13">
        <v>80</v>
      </c>
      <c r="P52" s="15">
        <v>70</v>
      </c>
      <c r="Q52" s="17">
        <v>110</v>
      </c>
      <c r="R52" s="22">
        <f t="shared" si="1"/>
        <v>480</v>
      </c>
    </row>
    <row r="53" spans="2:18" ht="30" customHeight="1" x14ac:dyDescent="0.25">
      <c r="B53" t="e" vm="59">
        <v>#VALUE!</v>
      </c>
      <c r="C53" s="5">
        <f t="shared" si="0"/>
        <v>50</v>
      </c>
      <c r="D53" s="1" t="s">
        <v>100</v>
      </c>
      <c r="E53" s="36" t="s">
        <v>45</v>
      </c>
      <c r="F53" s="48" t="s">
        <v>64</v>
      </c>
      <c r="G53" s="1" t="e" vm="21">
        <v>#VALUE!</v>
      </c>
      <c r="H53" s="1" t="s">
        <v>45</v>
      </c>
      <c r="I53" s="1" t="e" vm="34">
        <v>#VALUE!</v>
      </c>
      <c r="J53" s="1" t="s">
        <v>71</v>
      </c>
      <c r="K53" s="1" t="s">
        <v>104</v>
      </c>
      <c r="L53" s="7">
        <v>50</v>
      </c>
      <c r="M53" s="9">
        <v>65</v>
      </c>
      <c r="N53" s="11">
        <v>85</v>
      </c>
      <c r="O53" s="13">
        <v>35</v>
      </c>
      <c r="P53" s="15">
        <v>35</v>
      </c>
      <c r="Q53" s="17">
        <v>55</v>
      </c>
      <c r="R53" s="22">
        <f t="shared" si="1"/>
        <v>325</v>
      </c>
    </row>
    <row r="54" spans="2:18" ht="30" customHeight="1" x14ac:dyDescent="0.25">
      <c r="B54" t="e" vm="60">
        <v>#VALUE!</v>
      </c>
      <c r="C54" s="5">
        <f t="shared" si="0"/>
        <v>51</v>
      </c>
      <c r="D54" s="1" t="s">
        <v>101</v>
      </c>
      <c r="E54" s="36" t="s">
        <v>45</v>
      </c>
      <c r="F54" s="48" t="s">
        <v>64</v>
      </c>
      <c r="G54" s="1" t="e" vm="21">
        <v>#VALUE!</v>
      </c>
      <c r="H54" s="1" t="s">
        <v>45</v>
      </c>
      <c r="I54" s="1" t="e" vm="34">
        <v>#VALUE!</v>
      </c>
      <c r="J54" s="1" t="s">
        <v>71</v>
      </c>
      <c r="K54" s="1" t="s">
        <v>22</v>
      </c>
      <c r="L54" s="7">
        <v>70</v>
      </c>
      <c r="M54" s="9">
        <v>105</v>
      </c>
      <c r="N54" s="11">
        <v>125</v>
      </c>
      <c r="O54" s="13">
        <v>65</v>
      </c>
      <c r="P54" s="15">
        <v>75</v>
      </c>
      <c r="Q54" s="17">
        <v>45</v>
      </c>
      <c r="R54" s="22">
        <f t="shared" si="1"/>
        <v>485</v>
      </c>
    </row>
    <row r="55" spans="2:18" ht="30" customHeight="1" x14ac:dyDescent="0.25">
      <c r="B55" s="5" t="e" vm="61">
        <v>#VALUE!</v>
      </c>
      <c r="C55" s="5">
        <f t="shared" si="0"/>
        <v>52</v>
      </c>
      <c r="D55" s="1" t="s">
        <v>102</v>
      </c>
      <c r="E55" s="34" t="s">
        <v>37</v>
      </c>
      <c r="F55" s="28"/>
      <c r="G55" s="1" t="e" vm="3">
        <v>#VALUE!</v>
      </c>
      <c r="H55" s="1" t="s">
        <v>17</v>
      </c>
      <c r="I55" s="1"/>
      <c r="J55" s="1"/>
      <c r="K55" s="1" t="s">
        <v>302</v>
      </c>
      <c r="L55" s="7">
        <v>73</v>
      </c>
      <c r="M55" s="9">
        <v>95</v>
      </c>
      <c r="N55" s="11">
        <v>62</v>
      </c>
      <c r="O55" s="13">
        <v>85</v>
      </c>
      <c r="P55" s="15">
        <v>65</v>
      </c>
      <c r="Q55" s="17">
        <v>85</v>
      </c>
      <c r="R55" s="22">
        <f t="shared" si="1"/>
        <v>465</v>
      </c>
    </row>
    <row r="56" spans="2:18" ht="30" customHeight="1" x14ac:dyDescent="0.25">
      <c r="B56" s="5" t="e" vm="62">
        <v>#VALUE!</v>
      </c>
      <c r="C56" s="5">
        <f t="shared" si="0"/>
        <v>53</v>
      </c>
      <c r="D56" s="1" t="s">
        <v>103</v>
      </c>
      <c r="E56" s="34" t="s">
        <v>37</v>
      </c>
      <c r="F56" s="49" t="s">
        <v>63</v>
      </c>
      <c r="G56" s="1" t="e" vm="3">
        <v>#VALUE!</v>
      </c>
      <c r="H56" s="1" t="s">
        <v>17</v>
      </c>
      <c r="I56" s="1"/>
      <c r="J56" s="1"/>
      <c r="K56" s="1" t="s">
        <v>22</v>
      </c>
      <c r="L56" s="7">
        <v>103</v>
      </c>
      <c r="M56" s="9">
        <v>105</v>
      </c>
      <c r="N56" s="11">
        <v>72</v>
      </c>
      <c r="O56" s="13">
        <v>105</v>
      </c>
      <c r="P56" s="15">
        <v>75</v>
      </c>
      <c r="Q56" s="17">
        <v>65</v>
      </c>
      <c r="R56" s="22">
        <f t="shared" si="1"/>
        <v>525</v>
      </c>
    </row>
    <row r="57" spans="2:18" ht="30" customHeight="1" x14ac:dyDescent="0.25">
      <c r="B57" s="5" t="e" vm="63">
        <v>#VALUE!</v>
      </c>
      <c r="C57" s="5">
        <f t="shared" si="0"/>
        <v>54</v>
      </c>
      <c r="D57" s="1" t="s">
        <v>117</v>
      </c>
      <c r="E57" s="32" t="s">
        <v>30</v>
      </c>
      <c r="F57" s="28"/>
      <c r="G57" s="1" t="e" vm="64">
        <v>#VALUE!</v>
      </c>
      <c r="H57" s="1" t="s">
        <v>118</v>
      </c>
      <c r="I57" s="1" t="e" vm="49">
        <v>#VALUE!</v>
      </c>
      <c r="J57" s="1" t="s">
        <v>69</v>
      </c>
      <c r="K57" s="1" t="s">
        <v>119</v>
      </c>
      <c r="L57" s="7">
        <v>20</v>
      </c>
      <c r="M57" s="9">
        <v>10</v>
      </c>
      <c r="N57" s="11">
        <v>55</v>
      </c>
      <c r="O57" s="13">
        <v>15</v>
      </c>
      <c r="P57" s="15">
        <v>20</v>
      </c>
      <c r="Q57" s="17">
        <v>80</v>
      </c>
      <c r="R57" s="22">
        <f t="shared" si="1"/>
        <v>200</v>
      </c>
    </row>
    <row r="58" spans="2:18" ht="30" customHeight="1" x14ac:dyDescent="0.25">
      <c r="B58" s="5" t="e" vm="65">
        <v>#VALUE!</v>
      </c>
      <c r="C58" s="5">
        <f t="shared" si="0"/>
        <v>55</v>
      </c>
      <c r="D58" s="1" t="s">
        <v>120</v>
      </c>
      <c r="E58" s="32" t="s">
        <v>30</v>
      </c>
      <c r="F58" s="45" t="s">
        <v>41</v>
      </c>
      <c r="G58" s="1" t="e" vm="64">
        <v>#VALUE!</v>
      </c>
      <c r="H58" s="1" t="s">
        <v>118</v>
      </c>
      <c r="I58" s="1" t="e" vm="49">
        <v>#VALUE!</v>
      </c>
      <c r="J58" s="1" t="s">
        <v>69</v>
      </c>
      <c r="K58" s="1" t="s">
        <v>22</v>
      </c>
      <c r="L58" s="7">
        <v>95</v>
      </c>
      <c r="M58" s="9">
        <v>125</v>
      </c>
      <c r="N58" s="11">
        <v>79</v>
      </c>
      <c r="O58" s="13">
        <v>60</v>
      </c>
      <c r="P58" s="15">
        <v>100</v>
      </c>
      <c r="Q58" s="17">
        <v>81</v>
      </c>
      <c r="R58" s="22">
        <f t="shared" si="1"/>
        <v>540</v>
      </c>
    </row>
    <row r="59" spans="2:18" ht="30" customHeight="1" x14ac:dyDescent="0.25">
      <c r="B59" s="5" t="e" vm="66">
        <v>#VALUE!</v>
      </c>
      <c r="C59" s="5">
        <f t="shared" si="0"/>
        <v>56</v>
      </c>
      <c r="D59" s="1" t="s">
        <v>105</v>
      </c>
      <c r="E59" s="38" t="s">
        <v>50</v>
      </c>
      <c r="F59" s="45" t="s">
        <v>41</v>
      </c>
      <c r="G59" s="1" t="e" vm="21">
        <v>#VALUE!</v>
      </c>
      <c r="H59" s="1" t="s">
        <v>45</v>
      </c>
      <c r="I59" s="1"/>
      <c r="J59" s="1"/>
      <c r="K59" s="1" t="s">
        <v>106</v>
      </c>
      <c r="L59" s="7">
        <v>65</v>
      </c>
      <c r="M59" s="9">
        <v>75</v>
      </c>
      <c r="N59" s="11">
        <v>105</v>
      </c>
      <c r="O59" s="13">
        <v>35</v>
      </c>
      <c r="P59" s="15">
        <v>65</v>
      </c>
      <c r="Q59" s="17">
        <v>85</v>
      </c>
      <c r="R59" s="22">
        <f t="shared" si="1"/>
        <v>430</v>
      </c>
    </row>
    <row r="60" spans="2:18" ht="30" customHeight="1" x14ac:dyDescent="0.25">
      <c r="B60" s="5" t="e" vm="67">
        <v>#VALUE!</v>
      </c>
      <c r="C60" s="5">
        <f t="shared" si="0"/>
        <v>57</v>
      </c>
      <c r="D60" s="1" t="s">
        <v>107</v>
      </c>
      <c r="E60" s="38" t="s">
        <v>50</v>
      </c>
      <c r="F60" s="45" t="s">
        <v>41</v>
      </c>
      <c r="G60" s="1" t="e" vm="21">
        <v>#VALUE!</v>
      </c>
      <c r="H60" s="1" t="s">
        <v>45</v>
      </c>
      <c r="I60" s="1"/>
      <c r="J60" s="1"/>
      <c r="K60" s="1" t="s">
        <v>22</v>
      </c>
      <c r="L60" s="7">
        <v>75</v>
      </c>
      <c r="M60" s="9">
        <v>95</v>
      </c>
      <c r="N60" s="11">
        <v>125</v>
      </c>
      <c r="O60" s="13">
        <v>45</v>
      </c>
      <c r="P60" s="15">
        <v>75</v>
      </c>
      <c r="Q60" s="17">
        <v>95</v>
      </c>
      <c r="R60" s="22">
        <f t="shared" si="1"/>
        <v>510</v>
      </c>
    </row>
    <row r="61" spans="2:18" ht="30" customHeight="1" x14ac:dyDescent="0.25">
      <c r="B61" s="5" t="e" vm="68">
        <v>#VALUE!</v>
      </c>
      <c r="C61" s="5">
        <f t="shared" si="0"/>
        <v>58</v>
      </c>
      <c r="D61" s="1" t="s">
        <v>108</v>
      </c>
      <c r="E61" s="29" t="s">
        <v>24</v>
      </c>
      <c r="F61" s="28"/>
      <c r="G61" s="1" t="e" vm="3">
        <v>#VALUE!</v>
      </c>
      <c r="H61" s="1" t="s">
        <v>17</v>
      </c>
      <c r="I61" s="1"/>
      <c r="J61" s="1"/>
      <c r="K61" s="1" t="s">
        <v>109</v>
      </c>
      <c r="L61" s="7">
        <v>38</v>
      </c>
      <c r="M61" s="9">
        <v>41</v>
      </c>
      <c r="N61" s="11">
        <v>40</v>
      </c>
      <c r="O61" s="13">
        <v>50</v>
      </c>
      <c r="P61" s="15">
        <v>65</v>
      </c>
      <c r="Q61" s="17">
        <v>65</v>
      </c>
      <c r="R61" s="22">
        <f t="shared" si="1"/>
        <v>299</v>
      </c>
    </row>
    <row r="62" spans="2:18" ht="30" customHeight="1" x14ac:dyDescent="0.25">
      <c r="B62" s="5" t="e" vm="69">
        <v>#VALUE!</v>
      </c>
      <c r="C62" s="5">
        <f t="shared" si="0"/>
        <v>59</v>
      </c>
      <c r="D62" s="1" t="s">
        <v>110</v>
      </c>
      <c r="E62" s="29" t="s">
        <v>24</v>
      </c>
      <c r="F62" s="28"/>
      <c r="G62" s="1" t="e" vm="3">
        <v>#VALUE!</v>
      </c>
      <c r="H62" s="1" t="s">
        <v>17</v>
      </c>
      <c r="I62" s="1"/>
      <c r="J62" s="1"/>
      <c r="K62" s="1" t="s">
        <v>22</v>
      </c>
      <c r="L62" s="7">
        <v>73</v>
      </c>
      <c r="M62" s="9">
        <v>76</v>
      </c>
      <c r="N62" s="11">
        <v>75</v>
      </c>
      <c r="O62" s="13">
        <v>81</v>
      </c>
      <c r="P62" s="15">
        <v>100</v>
      </c>
      <c r="Q62" s="17">
        <v>100</v>
      </c>
      <c r="R62" s="22">
        <f t="shared" si="1"/>
        <v>505</v>
      </c>
    </row>
    <row r="63" spans="2:18" ht="30" customHeight="1" x14ac:dyDescent="0.25">
      <c r="B63" s="5" t="e" vm="70">
        <v>#VALUE!</v>
      </c>
      <c r="C63" s="5">
        <f t="shared" si="0"/>
        <v>60</v>
      </c>
      <c r="D63" s="1" t="s">
        <v>111</v>
      </c>
      <c r="E63" s="39" t="s">
        <v>27</v>
      </c>
      <c r="F63" s="28"/>
      <c r="G63" s="1" t="e" vm="3">
        <v>#VALUE!</v>
      </c>
      <c r="H63" s="1" t="s">
        <v>17</v>
      </c>
      <c r="I63" s="1"/>
      <c r="J63" s="1"/>
      <c r="K63" s="1" t="s">
        <v>78</v>
      </c>
      <c r="L63" s="7">
        <v>40</v>
      </c>
      <c r="M63" s="9">
        <v>80</v>
      </c>
      <c r="N63" s="11">
        <v>35</v>
      </c>
      <c r="O63" s="13">
        <v>35</v>
      </c>
      <c r="P63" s="15">
        <v>45</v>
      </c>
      <c r="Q63" s="17">
        <v>70</v>
      </c>
      <c r="R63" s="22">
        <f t="shared" si="1"/>
        <v>305</v>
      </c>
    </row>
    <row r="64" spans="2:18" ht="30" customHeight="1" x14ac:dyDescent="0.25">
      <c r="B64" s="5" t="e" vm="71">
        <v>#VALUE!</v>
      </c>
      <c r="C64" s="5">
        <f t="shared" si="0"/>
        <v>61</v>
      </c>
      <c r="D64" s="1" t="s">
        <v>112</v>
      </c>
      <c r="E64" s="39" t="s">
        <v>27</v>
      </c>
      <c r="F64" s="28"/>
      <c r="G64" s="1" t="e" vm="3">
        <v>#VALUE!</v>
      </c>
      <c r="H64" s="1" t="s">
        <v>17</v>
      </c>
      <c r="I64" s="1"/>
      <c r="J64" s="1"/>
      <c r="K64" s="1" t="s">
        <v>130</v>
      </c>
      <c r="L64" s="7">
        <v>65</v>
      </c>
      <c r="M64" s="9">
        <v>105</v>
      </c>
      <c r="N64" s="11">
        <v>60</v>
      </c>
      <c r="O64" s="13">
        <v>60</v>
      </c>
      <c r="P64" s="15">
        <v>70</v>
      </c>
      <c r="Q64" s="17">
        <v>95</v>
      </c>
      <c r="R64" s="22">
        <f t="shared" si="1"/>
        <v>455</v>
      </c>
    </row>
    <row r="65" spans="2:18" ht="30" customHeight="1" x14ac:dyDescent="0.25">
      <c r="B65" s="5" t="e" vm="72">
        <v>#VALUE!</v>
      </c>
      <c r="C65" s="5">
        <f t="shared" si="0"/>
        <v>62</v>
      </c>
      <c r="D65" s="1" t="s">
        <v>113</v>
      </c>
      <c r="E65" s="39" t="s">
        <v>27</v>
      </c>
      <c r="F65" s="47" t="s">
        <v>65</v>
      </c>
      <c r="G65" s="1" t="e" vm="3">
        <v>#VALUE!</v>
      </c>
      <c r="H65" s="1" t="s">
        <v>17</v>
      </c>
      <c r="I65" s="1"/>
      <c r="J65" s="1"/>
      <c r="K65" s="1" t="s">
        <v>22</v>
      </c>
      <c r="L65" s="7">
        <v>110</v>
      </c>
      <c r="M65" s="9">
        <v>115</v>
      </c>
      <c r="N65" s="11">
        <v>80</v>
      </c>
      <c r="O65" s="13">
        <v>50</v>
      </c>
      <c r="P65" s="15">
        <v>90</v>
      </c>
      <c r="Q65" s="17">
        <v>90</v>
      </c>
      <c r="R65" s="22">
        <f t="shared" si="1"/>
        <v>535</v>
      </c>
    </row>
    <row r="66" spans="2:18" ht="30" customHeight="1" x14ac:dyDescent="0.25">
      <c r="B66" s="5" t="e" vm="73">
        <v>#VALUE!</v>
      </c>
      <c r="C66" s="5">
        <f t="shared" si="0"/>
        <v>63</v>
      </c>
      <c r="D66" s="1" t="s">
        <v>115</v>
      </c>
      <c r="E66" s="50" t="s">
        <v>65</v>
      </c>
      <c r="F66" s="45" t="s">
        <v>41</v>
      </c>
      <c r="G66" s="1" t="e" vm="74">
        <v>#VALUE!</v>
      </c>
      <c r="H66" s="1" t="s">
        <v>114</v>
      </c>
      <c r="I66" s="1"/>
      <c r="J66" s="1"/>
      <c r="K66" s="1" t="s">
        <v>78</v>
      </c>
      <c r="L66" s="7">
        <v>90</v>
      </c>
      <c r="M66" s="9">
        <v>50</v>
      </c>
      <c r="N66" s="11">
        <v>34</v>
      </c>
      <c r="O66" s="13">
        <v>60</v>
      </c>
      <c r="P66" s="15">
        <v>44</v>
      </c>
      <c r="Q66" s="17">
        <v>70</v>
      </c>
      <c r="R66" s="22">
        <f t="shared" si="1"/>
        <v>348</v>
      </c>
    </row>
    <row r="67" spans="2:18" ht="30" customHeight="1" x14ac:dyDescent="0.25">
      <c r="B67" s="5" t="e" vm="75">
        <v>#VALUE!</v>
      </c>
      <c r="C67" s="5">
        <f t="shared" si="0"/>
        <v>64</v>
      </c>
      <c r="D67" s="1" t="s">
        <v>116</v>
      </c>
      <c r="E67" s="50" t="s">
        <v>65</v>
      </c>
      <c r="F67" s="45" t="s">
        <v>41</v>
      </c>
      <c r="G67" s="1" t="e" vm="74">
        <v>#VALUE!</v>
      </c>
      <c r="H67" s="1" t="s">
        <v>114</v>
      </c>
      <c r="I67" s="1"/>
      <c r="J67" s="1"/>
      <c r="K67" s="1" t="s">
        <v>22</v>
      </c>
      <c r="L67" s="7">
        <v>150</v>
      </c>
      <c r="M67" s="9">
        <v>80</v>
      </c>
      <c r="N67" s="11">
        <v>44</v>
      </c>
      <c r="O67" s="13">
        <v>90</v>
      </c>
      <c r="P67" s="15">
        <v>54</v>
      </c>
      <c r="Q67" s="17">
        <v>80</v>
      </c>
      <c r="R67" s="22">
        <f t="shared" si="1"/>
        <v>498</v>
      </c>
    </row>
    <row r="68" spans="2:18" ht="30" customHeight="1" x14ac:dyDescent="0.25">
      <c r="B68" t="e" vm="76">
        <v>#VALUE!</v>
      </c>
      <c r="C68" s="5">
        <f t="shared" si="0"/>
        <v>65</v>
      </c>
      <c r="D68" s="1" t="s">
        <v>121</v>
      </c>
      <c r="E68" s="32" t="s">
        <v>30</v>
      </c>
      <c r="F68" s="28"/>
      <c r="G68" s="1" t="e" vm="10">
        <v>#VALUE!</v>
      </c>
      <c r="H68" s="1" t="s">
        <v>31</v>
      </c>
      <c r="I68" s="1" t="e" vm="64">
        <v>#VALUE!</v>
      </c>
      <c r="J68" s="1" t="s">
        <v>118</v>
      </c>
      <c r="K68" s="1" t="s">
        <v>72</v>
      </c>
      <c r="L68" s="7">
        <v>35</v>
      </c>
      <c r="M68" s="9">
        <v>65</v>
      </c>
      <c r="N68" s="11">
        <v>35</v>
      </c>
      <c r="O68" s="13">
        <v>65</v>
      </c>
      <c r="P68" s="15">
        <v>35</v>
      </c>
      <c r="Q68" s="17">
        <v>65</v>
      </c>
      <c r="R68" s="22">
        <f t="shared" si="1"/>
        <v>300</v>
      </c>
    </row>
    <row r="69" spans="2:18" ht="30" customHeight="1" x14ac:dyDescent="0.25">
      <c r="B69" t="e" vm="77">
        <v>#VALUE!</v>
      </c>
      <c r="C69" s="5">
        <f t="shared" si="0"/>
        <v>66</v>
      </c>
      <c r="D69" s="1" t="s">
        <v>122</v>
      </c>
      <c r="E69" s="32" t="s">
        <v>30</v>
      </c>
      <c r="F69" s="28"/>
      <c r="G69" s="1" t="e" vm="10">
        <v>#VALUE!</v>
      </c>
      <c r="H69" s="1" t="s">
        <v>31</v>
      </c>
      <c r="I69" s="1" t="e" vm="64">
        <v>#VALUE!</v>
      </c>
      <c r="J69" s="1" t="s">
        <v>118</v>
      </c>
      <c r="K69" s="1" t="s">
        <v>22</v>
      </c>
      <c r="L69" s="7">
        <v>75</v>
      </c>
      <c r="M69" s="9">
        <v>105</v>
      </c>
      <c r="N69" s="11">
        <v>75</v>
      </c>
      <c r="O69" s="13">
        <v>105</v>
      </c>
      <c r="P69" s="15">
        <v>75</v>
      </c>
      <c r="Q69" s="17">
        <v>45</v>
      </c>
      <c r="R69" s="22">
        <f t="shared" si="1"/>
        <v>480</v>
      </c>
    </row>
    <row r="70" spans="2:18" ht="30" customHeight="1" x14ac:dyDescent="0.25">
      <c r="B70" s="5" t="e" vm="78">
        <v>#VALUE!</v>
      </c>
      <c r="C70" s="5">
        <f t="shared" ref="C70:C133" si="2">C69+1</f>
        <v>67</v>
      </c>
      <c r="D70" s="1" t="s">
        <v>123</v>
      </c>
      <c r="E70" s="35" t="s">
        <v>41</v>
      </c>
      <c r="F70" s="51" t="s">
        <v>30</v>
      </c>
      <c r="G70" s="1" t="e" vm="10">
        <v>#VALUE!</v>
      </c>
      <c r="H70" s="1" t="s">
        <v>31</v>
      </c>
      <c r="I70" s="1" t="e" vm="17">
        <v>#VALUE!</v>
      </c>
      <c r="J70" s="1" t="s">
        <v>41</v>
      </c>
      <c r="K70" s="1" t="s">
        <v>72</v>
      </c>
      <c r="L70" s="7">
        <v>40</v>
      </c>
      <c r="M70" s="9">
        <v>30</v>
      </c>
      <c r="N70" s="11">
        <v>30</v>
      </c>
      <c r="O70" s="13">
        <v>55</v>
      </c>
      <c r="P70" s="15">
        <v>30</v>
      </c>
      <c r="Q70" s="17">
        <v>85</v>
      </c>
      <c r="R70" s="22">
        <f t="shared" ref="R70:R133" si="3">SUM(L70:Q70)</f>
        <v>270</v>
      </c>
    </row>
    <row r="71" spans="2:18" ht="30" customHeight="1" x14ac:dyDescent="0.25">
      <c r="B71" s="5" t="e" vm="79">
        <v>#VALUE!</v>
      </c>
      <c r="C71" s="5">
        <f t="shared" si="2"/>
        <v>68</v>
      </c>
      <c r="D71" s="1" t="s">
        <v>124</v>
      </c>
      <c r="E71" s="35" t="s">
        <v>41</v>
      </c>
      <c r="F71" s="51" t="s">
        <v>30</v>
      </c>
      <c r="G71" s="1" t="e" vm="10">
        <v>#VALUE!</v>
      </c>
      <c r="H71" s="1" t="s">
        <v>31</v>
      </c>
      <c r="I71" s="1" t="e" vm="17">
        <v>#VALUE!</v>
      </c>
      <c r="J71" s="1" t="s">
        <v>41</v>
      </c>
      <c r="K71" s="1" t="s">
        <v>22</v>
      </c>
      <c r="L71" s="7">
        <v>60</v>
      </c>
      <c r="M71" s="9">
        <v>50</v>
      </c>
      <c r="N71" s="11">
        <v>100</v>
      </c>
      <c r="O71" s="13">
        <v>95</v>
      </c>
      <c r="P71" s="15">
        <v>70</v>
      </c>
      <c r="Q71" s="17">
        <v>65</v>
      </c>
      <c r="R71" s="22">
        <f t="shared" si="3"/>
        <v>440</v>
      </c>
    </row>
    <row r="72" spans="2:18" ht="30" customHeight="1" x14ac:dyDescent="0.25">
      <c r="B72" s="5" t="e" vm="80">
        <v>#VALUE!</v>
      </c>
      <c r="C72" s="5">
        <f t="shared" si="2"/>
        <v>69</v>
      </c>
      <c r="D72" s="1" t="s">
        <v>125</v>
      </c>
      <c r="E72" s="52" t="s">
        <v>34</v>
      </c>
      <c r="F72" s="47" t="s">
        <v>65</v>
      </c>
      <c r="G72" s="1" t="e" vm="34">
        <v>#VALUE!</v>
      </c>
      <c r="H72" s="1" t="s">
        <v>71</v>
      </c>
      <c r="I72" s="1"/>
      <c r="J72" s="1"/>
      <c r="K72" s="1" t="s">
        <v>126</v>
      </c>
      <c r="L72" s="7">
        <v>45</v>
      </c>
      <c r="M72" s="9">
        <v>80</v>
      </c>
      <c r="N72" s="11">
        <v>100</v>
      </c>
      <c r="O72" s="13">
        <v>35</v>
      </c>
      <c r="P72" s="15">
        <v>37</v>
      </c>
      <c r="Q72" s="17">
        <v>28</v>
      </c>
      <c r="R72" s="22">
        <f t="shared" si="3"/>
        <v>325</v>
      </c>
    </row>
    <row r="73" spans="2:18" ht="30" customHeight="1" x14ac:dyDescent="0.25">
      <c r="B73" s="5" t="e" vm="81">
        <v>#VALUE!</v>
      </c>
      <c r="C73" s="5">
        <f t="shared" si="2"/>
        <v>70</v>
      </c>
      <c r="D73" s="1" t="s">
        <v>127</v>
      </c>
      <c r="E73" s="52" t="s">
        <v>34</v>
      </c>
      <c r="F73" s="47" t="s">
        <v>65</v>
      </c>
      <c r="G73" s="1" t="e" vm="34">
        <v>#VALUE!</v>
      </c>
      <c r="H73" s="1" t="s">
        <v>71</v>
      </c>
      <c r="I73" s="1"/>
      <c r="J73" s="1"/>
      <c r="K73" s="1" t="s">
        <v>128</v>
      </c>
      <c r="L73" s="7">
        <v>59</v>
      </c>
      <c r="M73" s="9">
        <v>110</v>
      </c>
      <c r="N73" s="11">
        <v>150</v>
      </c>
      <c r="O73" s="13">
        <v>45</v>
      </c>
      <c r="P73" s="15">
        <v>49</v>
      </c>
      <c r="Q73" s="17">
        <v>35</v>
      </c>
      <c r="R73" s="22">
        <f t="shared" si="3"/>
        <v>448</v>
      </c>
    </row>
    <row r="74" spans="2:18" ht="30" customHeight="1" x14ac:dyDescent="0.25">
      <c r="B74" s="5" t="e" vm="82">
        <v>#VALUE!</v>
      </c>
      <c r="C74" s="5">
        <f t="shared" si="2"/>
        <v>71</v>
      </c>
      <c r="D74" s="1" t="s">
        <v>129</v>
      </c>
      <c r="E74" s="52" t="s">
        <v>34</v>
      </c>
      <c r="F74" s="47" t="s">
        <v>65</v>
      </c>
      <c r="G74" s="1" t="e" vm="34">
        <v>#VALUE!</v>
      </c>
      <c r="H74" s="1" t="s">
        <v>71</v>
      </c>
      <c r="I74" s="1"/>
      <c r="J74" s="1"/>
      <c r="K74" s="1" t="s">
        <v>22</v>
      </c>
      <c r="L74" s="7">
        <v>60</v>
      </c>
      <c r="M74" s="9">
        <v>50</v>
      </c>
      <c r="N74" s="11">
        <v>140</v>
      </c>
      <c r="O74" s="13">
        <v>50</v>
      </c>
      <c r="P74" s="15">
        <v>140</v>
      </c>
      <c r="Q74" s="17">
        <v>60</v>
      </c>
      <c r="R74" s="22">
        <f t="shared" si="3"/>
        <v>500</v>
      </c>
    </row>
    <row r="75" spans="2:18" ht="30" customHeight="1" x14ac:dyDescent="0.25">
      <c r="B75" s="5" t="e" vm="83">
        <v>#VALUE!</v>
      </c>
      <c r="C75" s="5">
        <f t="shared" si="2"/>
        <v>72</v>
      </c>
      <c r="D75" s="1" t="s">
        <v>131</v>
      </c>
      <c r="E75" s="46" t="s">
        <v>66</v>
      </c>
      <c r="F75" s="28"/>
      <c r="G75" s="1" t="e" vm="34">
        <v>#VALUE!</v>
      </c>
      <c r="H75" s="1" t="s">
        <v>71</v>
      </c>
      <c r="I75" s="1"/>
      <c r="J75" s="1"/>
      <c r="K75" s="1" t="s">
        <v>126</v>
      </c>
      <c r="L75" s="7">
        <v>36</v>
      </c>
      <c r="M75" s="9">
        <v>50</v>
      </c>
      <c r="N75" s="11">
        <v>50</v>
      </c>
      <c r="O75" s="13">
        <v>65</v>
      </c>
      <c r="P75" s="15">
        <v>60</v>
      </c>
      <c r="Q75" s="17">
        <v>44</v>
      </c>
      <c r="R75" s="22">
        <f t="shared" si="3"/>
        <v>305</v>
      </c>
    </row>
    <row r="76" spans="2:18" ht="30" customHeight="1" x14ac:dyDescent="0.25">
      <c r="B76" s="5" t="e" vm="84">
        <v>#VALUE!</v>
      </c>
      <c r="C76" s="5">
        <f t="shared" si="2"/>
        <v>73</v>
      </c>
      <c r="D76" s="1" t="s">
        <v>132</v>
      </c>
      <c r="E76" s="46" t="s">
        <v>66</v>
      </c>
      <c r="F76" s="28"/>
      <c r="G76" s="1" t="e" vm="34">
        <v>#VALUE!</v>
      </c>
      <c r="H76" s="1" t="s">
        <v>71</v>
      </c>
      <c r="I76" s="1"/>
      <c r="J76" s="1"/>
      <c r="K76" s="1" t="s">
        <v>133</v>
      </c>
      <c r="L76" s="7">
        <v>51</v>
      </c>
      <c r="M76" s="9">
        <v>65</v>
      </c>
      <c r="N76" s="11">
        <v>65</v>
      </c>
      <c r="O76" s="13">
        <v>80</v>
      </c>
      <c r="P76" s="15">
        <v>75</v>
      </c>
      <c r="Q76" s="17">
        <v>59</v>
      </c>
      <c r="R76" s="22">
        <f t="shared" si="3"/>
        <v>395</v>
      </c>
    </row>
    <row r="77" spans="2:18" ht="30" customHeight="1" x14ac:dyDescent="0.25">
      <c r="B77" s="5" t="e" vm="85">
        <v>#VALUE!</v>
      </c>
      <c r="C77" s="5">
        <f t="shared" si="2"/>
        <v>74</v>
      </c>
      <c r="D77" s="1" t="s">
        <v>134</v>
      </c>
      <c r="E77" s="46" t="s">
        <v>66</v>
      </c>
      <c r="F77" s="28"/>
      <c r="G77" s="1" t="e" vm="34">
        <v>#VALUE!</v>
      </c>
      <c r="H77" s="1" t="s">
        <v>71</v>
      </c>
      <c r="I77" s="1"/>
      <c r="J77" s="1"/>
      <c r="K77" s="1" t="s">
        <v>22</v>
      </c>
      <c r="L77" s="7">
        <v>71</v>
      </c>
      <c r="M77" s="9">
        <v>95</v>
      </c>
      <c r="N77" s="11">
        <v>85</v>
      </c>
      <c r="O77" s="13">
        <v>110</v>
      </c>
      <c r="P77" s="15">
        <v>95</v>
      </c>
      <c r="Q77" s="17">
        <v>79</v>
      </c>
      <c r="R77" s="22">
        <f t="shared" si="3"/>
        <v>535</v>
      </c>
    </row>
    <row r="78" spans="2:18" ht="30" customHeight="1" x14ac:dyDescent="0.25">
      <c r="B78" s="5" t="e" vm="86">
        <v>#VALUE!</v>
      </c>
      <c r="C78" s="5">
        <f t="shared" si="2"/>
        <v>75</v>
      </c>
      <c r="D78" s="1" t="s">
        <v>138</v>
      </c>
      <c r="E78" s="46" t="s">
        <v>66</v>
      </c>
      <c r="F78" s="42" t="s">
        <v>45</v>
      </c>
      <c r="G78" s="1" t="e" vm="21">
        <v>#VALUE!</v>
      </c>
      <c r="H78" s="1" t="s">
        <v>45</v>
      </c>
      <c r="I78" s="1"/>
      <c r="J78" s="1"/>
      <c r="K78" s="1" t="s">
        <v>139</v>
      </c>
      <c r="L78" s="7">
        <v>30</v>
      </c>
      <c r="M78" s="9">
        <v>25</v>
      </c>
      <c r="N78" s="11">
        <v>35</v>
      </c>
      <c r="O78" s="13">
        <v>45</v>
      </c>
      <c r="P78" s="15">
        <v>30</v>
      </c>
      <c r="Q78" s="17">
        <v>20</v>
      </c>
      <c r="R78" s="22">
        <f t="shared" si="3"/>
        <v>185</v>
      </c>
    </row>
    <row r="79" spans="2:18" ht="30" customHeight="1" x14ac:dyDescent="0.25">
      <c r="B79" s="5" t="e" vm="87">
        <v>#VALUE!</v>
      </c>
      <c r="C79" s="5">
        <f t="shared" si="2"/>
        <v>76</v>
      </c>
      <c r="D79" s="1" t="s">
        <v>140</v>
      </c>
      <c r="E79" s="46" t="s">
        <v>66</v>
      </c>
      <c r="F79" s="42" t="s">
        <v>45</v>
      </c>
      <c r="G79" s="1" t="e" vm="21">
        <v>#VALUE!</v>
      </c>
      <c r="H79" s="1" t="s">
        <v>45</v>
      </c>
      <c r="I79" s="1"/>
      <c r="J79" s="1"/>
      <c r="K79" s="1" t="s">
        <v>22</v>
      </c>
      <c r="L79" s="7">
        <v>70</v>
      </c>
      <c r="M79" s="9">
        <v>65</v>
      </c>
      <c r="N79" s="11">
        <v>60</v>
      </c>
      <c r="O79" s="13">
        <v>125</v>
      </c>
      <c r="P79" s="15">
        <v>90</v>
      </c>
      <c r="Q79" s="17">
        <v>65</v>
      </c>
      <c r="R79" s="22">
        <f t="shared" si="3"/>
        <v>475</v>
      </c>
    </row>
    <row r="80" spans="2:18" ht="30" customHeight="1" x14ac:dyDescent="0.25">
      <c r="B80" s="5" t="e" vm="88">
        <v>#VALUE!</v>
      </c>
      <c r="C80" s="5">
        <f t="shared" si="2"/>
        <v>77</v>
      </c>
      <c r="D80" s="1" t="s">
        <v>135</v>
      </c>
      <c r="E80" s="53" t="s">
        <v>63</v>
      </c>
      <c r="F80" s="28"/>
      <c r="G80" s="1" t="e" vm="3">
        <v>#VALUE!</v>
      </c>
      <c r="H80" s="1" t="s">
        <v>17</v>
      </c>
      <c r="I80" s="1"/>
      <c r="J80" s="1"/>
      <c r="K80" s="1" t="s">
        <v>136</v>
      </c>
      <c r="L80" s="7">
        <v>76</v>
      </c>
      <c r="M80" s="9">
        <v>25</v>
      </c>
      <c r="N80" s="11">
        <v>45</v>
      </c>
      <c r="O80" s="13">
        <v>67</v>
      </c>
      <c r="P80" s="15">
        <v>55</v>
      </c>
      <c r="Q80" s="17">
        <v>24</v>
      </c>
      <c r="R80" s="22">
        <f t="shared" si="3"/>
        <v>292</v>
      </c>
    </row>
    <row r="81" spans="2:18" ht="30" customHeight="1" x14ac:dyDescent="0.25">
      <c r="B81" s="5" t="e" vm="89">
        <v>#VALUE!</v>
      </c>
      <c r="C81" s="5">
        <f t="shared" si="2"/>
        <v>78</v>
      </c>
      <c r="D81" s="1" t="s">
        <v>137</v>
      </c>
      <c r="E81" s="53" t="s">
        <v>63</v>
      </c>
      <c r="F81" s="28"/>
      <c r="G81" s="1" t="e" vm="3">
        <v>#VALUE!</v>
      </c>
      <c r="H81" s="1" t="s">
        <v>17</v>
      </c>
      <c r="I81" s="1"/>
      <c r="J81" s="1"/>
      <c r="K81" s="1" t="s">
        <v>22</v>
      </c>
      <c r="L81" s="7">
        <v>116</v>
      </c>
      <c r="M81" s="9">
        <v>55</v>
      </c>
      <c r="N81" s="11">
        <v>85</v>
      </c>
      <c r="O81" s="13">
        <v>107</v>
      </c>
      <c r="P81" s="15">
        <v>95</v>
      </c>
      <c r="Q81" s="17">
        <v>29</v>
      </c>
      <c r="R81" s="22">
        <f t="shared" si="3"/>
        <v>487</v>
      </c>
    </row>
    <row r="82" spans="2:18" ht="30" customHeight="1" x14ac:dyDescent="0.25">
      <c r="B82" t="e" vm="90">
        <v>#VALUE!</v>
      </c>
      <c r="C82" s="5">
        <f t="shared" si="2"/>
        <v>79</v>
      </c>
      <c r="D82" s="1" t="s">
        <v>142</v>
      </c>
      <c r="E82" s="32" t="s">
        <v>30</v>
      </c>
      <c r="F82" s="28"/>
      <c r="G82" s="1" t="e" vm="10">
        <v>#VALUE!</v>
      </c>
      <c r="H82" s="1" t="s">
        <v>31</v>
      </c>
      <c r="I82" s="1" t="e" vm="3">
        <v>#VALUE!</v>
      </c>
      <c r="J82" s="1" t="s">
        <v>17</v>
      </c>
      <c r="K82" s="1" t="s">
        <v>141</v>
      </c>
      <c r="L82" s="7">
        <v>50</v>
      </c>
      <c r="M82" s="9">
        <v>52</v>
      </c>
      <c r="N82" s="11">
        <v>48</v>
      </c>
      <c r="O82" s="13">
        <v>65</v>
      </c>
      <c r="P82" s="15">
        <v>50</v>
      </c>
      <c r="Q82" s="17">
        <v>55</v>
      </c>
      <c r="R82" s="22">
        <f t="shared" ref="R82:R83" si="4">SUM(L82:Q82)</f>
        <v>320</v>
      </c>
    </row>
    <row r="83" spans="2:18" ht="30" customHeight="1" x14ac:dyDescent="0.25">
      <c r="B83" t="e" vm="91">
        <v>#VALUE!</v>
      </c>
      <c r="C83" s="5">
        <f t="shared" si="2"/>
        <v>80</v>
      </c>
      <c r="D83" s="1" t="s">
        <v>143</v>
      </c>
      <c r="E83" s="32" t="s">
        <v>30</v>
      </c>
      <c r="F83" s="28"/>
      <c r="G83" s="1" t="e" vm="10">
        <v>#VALUE!</v>
      </c>
      <c r="H83" s="1" t="s">
        <v>31</v>
      </c>
      <c r="I83" s="1" t="e" vm="3">
        <v>#VALUE!</v>
      </c>
      <c r="J83" s="1" t="s">
        <v>17</v>
      </c>
      <c r="K83" s="1" t="s">
        <v>22</v>
      </c>
      <c r="L83" s="7">
        <v>80</v>
      </c>
      <c r="M83" s="9">
        <v>82</v>
      </c>
      <c r="N83" s="11">
        <v>78</v>
      </c>
      <c r="O83" s="13">
        <v>95</v>
      </c>
      <c r="P83" s="15">
        <v>80</v>
      </c>
      <c r="Q83" s="17">
        <v>85</v>
      </c>
      <c r="R83" s="22">
        <f t="shared" si="4"/>
        <v>500</v>
      </c>
    </row>
    <row r="84" spans="2:18" ht="30" customHeight="1" x14ac:dyDescent="0.25">
      <c r="B84" s="5" t="e" vm="92">
        <v>#VALUE!</v>
      </c>
      <c r="C84" s="5">
        <f t="shared" si="2"/>
        <v>81</v>
      </c>
      <c r="D84" s="1" t="s">
        <v>144</v>
      </c>
      <c r="E84" s="54" t="s">
        <v>60</v>
      </c>
      <c r="F84" s="28"/>
      <c r="G84" s="1" t="e" vm="3">
        <v>#VALUE!</v>
      </c>
      <c r="H84" s="1" t="s">
        <v>17</v>
      </c>
      <c r="I84" s="1" t="e" vm="34">
        <v>#VALUE!</v>
      </c>
      <c r="J84" s="1" t="s">
        <v>71</v>
      </c>
      <c r="K84" s="1" t="s">
        <v>145</v>
      </c>
      <c r="L84" s="7">
        <v>37</v>
      </c>
      <c r="M84" s="9">
        <v>55</v>
      </c>
      <c r="N84" s="11">
        <v>70</v>
      </c>
      <c r="O84" s="13">
        <v>30</v>
      </c>
      <c r="P84" s="15">
        <v>55</v>
      </c>
      <c r="Q84" s="17">
        <v>65</v>
      </c>
      <c r="R84" s="22">
        <f t="shared" si="3"/>
        <v>312</v>
      </c>
    </row>
    <row r="85" spans="2:18" ht="30" customHeight="1" x14ac:dyDescent="0.25">
      <c r="B85" s="5" t="e" vm="93">
        <v>#VALUE!</v>
      </c>
      <c r="C85" s="5">
        <f t="shared" si="2"/>
        <v>82</v>
      </c>
      <c r="D85" s="1" t="s">
        <v>146</v>
      </c>
      <c r="E85" s="54" t="s">
        <v>60</v>
      </c>
      <c r="F85" s="28"/>
      <c r="G85" s="1" t="e" vm="3">
        <v>#VALUE!</v>
      </c>
      <c r="H85" s="1" t="s">
        <v>17</v>
      </c>
      <c r="I85" s="1" t="e" vm="34">
        <v>#VALUE!</v>
      </c>
      <c r="J85" s="1" t="s">
        <v>71</v>
      </c>
      <c r="K85" s="1" t="s">
        <v>22</v>
      </c>
      <c r="L85" s="7">
        <v>57</v>
      </c>
      <c r="M85" s="9">
        <v>80</v>
      </c>
      <c r="N85" s="11">
        <v>115</v>
      </c>
      <c r="O85" s="13">
        <v>50</v>
      </c>
      <c r="P85" s="15">
        <v>80</v>
      </c>
      <c r="Q85" s="17">
        <v>95</v>
      </c>
      <c r="R85" s="22">
        <f t="shared" si="3"/>
        <v>477</v>
      </c>
    </row>
    <row r="86" spans="2:18" ht="30" customHeight="1" x14ac:dyDescent="0.25">
      <c r="B86" s="5" t="e" vm="94">
        <v>#VALUE!</v>
      </c>
      <c r="C86" s="5">
        <f t="shared" si="2"/>
        <v>83</v>
      </c>
      <c r="D86" s="1" t="s">
        <v>147</v>
      </c>
      <c r="E86" s="32" t="s">
        <v>30</v>
      </c>
      <c r="F86" s="28"/>
      <c r="G86" s="1" t="e" vm="64">
        <v>#VALUE!</v>
      </c>
      <c r="H86" s="1" t="s">
        <v>118</v>
      </c>
      <c r="I86" s="1"/>
      <c r="J86" s="1"/>
      <c r="K86" s="1" t="s">
        <v>145</v>
      </c>
      <c r="L86" s="7">
        <v>41</v>
      </c>
      <c r="M86" s="9">
        <v>63</v>
      </c>
      <c r="N86" s="11">
        <v>40</v>
      </c>
      <c r="O86" s="13">
        <v>40</v>
      </c>
      <c r="P86" s="15">
        <v>30</v>
      </c>
      <c r="Q86" s="17">
        <v>66</v>
      </c>
      <c r="R86" s="22">
        <f t="shared" si="3"/>
        <v>280</v>
      </c>
    </row>
    <row r="87" spans="2:18" ht="30" customHeight="1" x14ac:dyDescent="0.25">
      <c r="B87" s="5" t="e" vm="95">
        <v>#VALUE!</v>
      </c>
      <c r="C87" s="5">
        <f t="shared" si="2"/>
        <v>84</v>
      </c>
      <c r="D87" s="1" t="s">
        <v>148</v>
      </c>
      <c r="E87" s="32" t="s">
        <v>30</v>
      </c>
      <c r="F87" s="28"/>
      <c r="G87" s="1" t="e" vm="64">
        <v>#VALUE!</v>
      </c>
      <c r="H87" s="1" t="s">
        <v>118</v>
      </c>
      <c r="I87" s="1"/>
      <c r="J87" s="1"/>
      <c r="K87" s="1" t="s">
        <v>22</v>
      </c>
      <c r="L87" s="7">
        <v>61</v>
      </c>
      <c r="M87" s="9">
        <v>123</v>
      </c>
      <c r="N87" s="11">
        <v>60</v>
      </c>
      <c r="O87" s="13">
        <v>60</v>
      </c>
      <c r="P87" s="15">
        <v>50</v>
      </c>
      <c r="Q87" s="17">
        <v>136</v>
      </c>
      <c r="R87" s="22">
        <f t="shared" si="3"/>
        <v>490</v>
      </c>
    </row>
    <row r="88" spans="2:18" ht="30" customHeight="1" x14ac:dyDescent="0.25">
      <c r="B88" s="5" t="e" vm="96">
        <v>#VALUE!</v>
      </c>
      <c r="C88" s="5">
        <f t="shared" si="2"/>
        <v>85</v>
      </c>
      <c r="D88" s="1" t="s">
        <v>149</v>
      </c>
      <c r="E88" s="32" t="s">
        <v>30</v>
      </c>
      <c r="F88" s="28"/>
      <c r="G88" s="1" t="e" vm="64">
        <v>#VALUE!</v>
      </c>
      <c r="H88" s="1" t="s">
        <v>118</v>
      </c>
      <c r="I88" s="1"/>
      <c r="J88" s="1"/>
      <c r="K88" s="1" t="s">
        <v>303</v>
      </c>
      <c r="L88" s="7">
        <v>70</v>
      </c>
      <c r="M88" s="9">
        <v>92</v>
      </c>
      <c r="N88" s="11">
        <v>65</v>
      </c>
      <c r="O88" s="13">
        <v>80</v>
      </c>
      <c r="P88" s="15">
        <v>55</v>
      </c>
      <c r="Q88" s="17">
        <v>98</v>
      </c>
      <c r="R88" s="22">
        <f t="shared" si="3"/>
        <v>460</v>
      </c>
    </row>
    <row r="89" spans="2:18" ht="30" customHeight="1" x14ac:dyDescent="0.25">
      <c r="B89" s="5" t="e" vm="97">
        <v>#VALUE!</v>
      </c>
      <c r="C89" s="5">
        <f t="shared" si="2"/>
        <v>86</v>
      </c>
      <c r="D89" s="1" t="s">
        <v>150</v>
      </c>
      <c r="E89" s="32" t="s">
        <v>30</v>
      </c>
      <c r="F89" s="47" t="s">
        <v>65</v>
      </c>
      <c r="G89" s="1" t="e" vm="64">
        <v>#VALUE!</v>
      </c>
      <c r="H89" s="1" t="s">
        <v>118</v>
      </c>
      <c r="I89" s="1"/>
      <c r="J89" s="1"/>
      <c r="K89" s="1" t="s">
        <v>22</v>
      </c>
      <c r="L89" s="7">
        <v>120</v>
      </c>
      <c r="M89" s="9">
        <v>112</v>
      </c>
      <c r="N89" s="11">
        <v>65</v>
      </c>
      <c r="O89" s="13">
        <v>80</v>
      </c>
      <c r="P89" s="15">
        <v>75</v>
      </c>
      <c r="Q89" s="17">
        <v>78</v>
      </c>
      <c r="R89" s="22">
        <f t="shared" si="3"/>
        <v>530</v>
      </c>
    </row>
    <row r="90" spans="2:18" ht="30" customHeight="1" x14ac:dyDescent="0.25">
      <c r="B90" s="21" t="e" vm="98">
        <v>#VALUE!</v>
      </c>
      <c r="C90" s="5">
        <f t="shared" si="2"/>
        <v>87</v>
      </c>
      <c r="D90" s="1" t="s">
        <v>151</v>
      </c>
      <c r="E90" s="54" t="s">
        <v>60</v>
      </c>
      <c r="F90" s="28"/>
      <c r="G90" s="1" t="e" vm="31">
        <v>#VALUE!</v>
      </c>
      <c r="H90" s="1" t="s">
        <v>60</v>
      </c>
      <c r="I90" s="1"/>
      <c r="J90" s="1"/>
      <c r="K90" s="1" t="s">
        <v>152</v>
      </c>
      <c r="L90" s="7">
        <v>44</v>
      </c>
      <c r="M90" s="9">
        <v>38</v>
      </c>
      <c r="N90" s="11">
        <v>39</v>
      </c>
      <c r="O90" s="13">
        <v>61</v>
      </c>
      <c r="P90" s="15">
        <v>79</v>
      </c>
      <c r="Q90" s="17">
        <v>42</v>
      </c>
      <c r="R90" s="22">
        <f t="shared" si="3"/>
        <v>303</v>
      </c>
    </row>
    <row r="91" spans="2:18" ht="30" customHeight="1" x14ac:dyDescent="0.25">
      <c r="B91" s="21" t="e" vm="99">
        <v>#VALUE!</v>
      </c>
      <c r="C91" s="5">
        <f t="shared" si="2"/>
        <v>88</v>
      </c>
      <c r="D91" s="1" t="s">
        <v>153</v>
      </c>
      <c r="E91" s="54" t="s">
        <v>60</v>
      </c>
      <c r="F91" s="28"/>
      <c r="G91" s="1" t="e" vm="31">
        <v>#VALUE!</v>
      </c>
      <c r="H91" s="1" t="s">
        <v>60</v>
      </c>
      <c r="I91" s="1"/>
      <c r="J91" s="1"/>
      <c r="K91" s="1" t="s">
        <v>154</v>
      </c>
      <c r="L91" s="7">
        <v>54</v>
      </c>
      <c r="M91" s="9">
        <v>45</v>
      </c>
      <c r="N91" s="11">
        <v>47</v>
      </c>
      <c r="O91" s="13">
        <v>75</v>
      </c>
      <c r="P91" s="15">
        <v>98</v>
      </c>
      <c r="Q91" s="17">
        <v>52</v>
      </c>
      <c r="R91" s="22">
        <f t="shared" si="3"/>
        <v>371</v>
      </c>
    </row>
    <row r="92" spans="2:18" ht="30" customHeight="1" x14ac:dyDescent="0.25">
      <c r="B92" s="21" t="e" vm="100">
        <v>#VALUE!</v>
      </c>
      <c r="C92" s="5">
        <f t="shared" si="2"/>
        <v>89</v>
      </c>
      <c r="D92" s="1" t="s">
        <v>155</v>
      </c>
      <c r="E92" s="54" t="s">
        <v>60</v>
      </c>
      <c r="F92" s="28"/>
      <c r="G92" s="1" t="e" vm="31">
        <v>#VALUE!</v>
      </c>
      <c r="H92" s="1" t="s">
        <v>60</v>
      </c>
      <c r="I92" s="1"/>
      <c r="J92" s="1"/>
      <c r="K92" s="1" t="s">
        <v>22</v>
      </c>
      <c r="L92" s="7">
        <v>78</v>
      </c>
      <c r="M92" s="9">
        <v>65</v>
      </c>
      <c r="N92" s="11">
        <v>68</v>
      </c>
      <c r="O92" s="13">
        <v>112</v>
      </c>
      <c r="P92" s="15">
        <v>154</v>
      </c>
      <c r="Q92" s="17">
        <v>75</v>
      </c>
      <c r="R92" s="22">
        <f t="shared" si="3"/>
        <v>552</v>
      </c>
    </row>
    <row r="93" spans="2:18" ht="30" customHeight="1" x14ac:dyDescent="0.25">
      <c r="B93" s="5" t="e" vm="101">
        <v>#VALUE!</v>
      </c>
      <c r="C93" s="5">
        <f t="shared" si="2"/>
        <v>90</v>
      </c>
      <c r="D93" s="1" t="s">
        <v>156</v>
      </c>
      <c r="E93" s="36" t="s">
        <v>45</v>
      </c>
      <c r="F93" s="51" t="s">
        <v>30</v>
      </c>
      <c r="G93" s="1" t="e" vm="21">
        <v>#VALUE!</v>
      </c>
      <c r="H93" s="1" t="s">
        <v>45</v>
      </c>
      <c r="I93" s="1" t="e" vm="102">
        <v>#VALUE!</v>
      </c>
      <c r="J93" s="1" t="s">
        <v>157</v>
      </c>
      <c r="K93" s="1" t="s">
        <v>83</v>
      </c>
      <c r="L93" s="7">
        <v>25</v>
      </c>
      <c r="M93" s="9">
        <v>35</v>
      </c>
      <c r="N93" s="11">
        <v>40</v>
      </c>
      <c r="O93" s="13">
        <v>20</v>
      </c>
      <c r="P93" s="15">
        <v>30</v>
      </c>
      <c r="Q93" s="17">
        <v>80</v>
      </c>
      <c r="R93" s="22">
        <f t="shared" si="3"/>
        <v>230</v>
      </c>
    </row>
    <row r="94" spans="2:18" ht="30" customHeight="1" x14ac:dyDescent="0.25">
      <c r="B94" s="5" t="e" vm="103">
        <v>#VALUE!</v>
      </c>
      <c r="C94" s="5">
        <f t="shared" si="2"/>
        <v>91</v>
      </c>
      <c r="D94" s="1" t="s">
        <v>158</v>
      </c>
      <c r="E94" s="36" t="s">
        <v>45</v>
      </c>
      <c r="F94" s="51" t="s">
        <v>30</v>
      </c>
      <c r="G94" s="1" t="e" vm="21">
        <v>#VALUE!</v>
      </c>
      <c r="H94" s="1" t="s">
        <v>45</v>
      </c>
      <c r="I94" s="1" t="e" vm="102">
        <v>#VALUE!</v>
      </c>
      <c r="J94" s="1" t="s">
        <v>157</v>
      </c>
      <c r="K94" s="1" t="s">
        <v>22</v>
      </c>
      <c r="L94" s="7">
        <v>75</v>
      </c>
      <c r="M94" s="9">
        <v>125</v>
      </c>
      <c r="N94" s="11">
        <v>140</v>
      </c>
      <c r="O94" s="13">
        <v>60</v>
      </c>
      <c r="P94" s="15">
        <v>90</v>
      </c>
      <c r="Q94" s="17">
        <v>40</v>
      </c>
      <c r="R94" s="22">
        <f t="shared" si="3"/>
        <v>530</v>
      </c>
    </row>
    <row r="95" spans="2:18" ht="30" customHeight="1" x14ac:dyDescent="0.25">
      <c r="B95" s="5" t="e" vm="104">
        <v>#VALUE!</v>
      </c>
      <c r="C95" s="5">
        <f t="shared" si="2"/>
        <v>92</v>
      </c>
      <c r="D95" s="1" t="s">
        <v>159</v>
      </c>
      <c r="E95" s="44" t="s">
        <v>67</v>
      </c>
      <c r="F95" s="28"/>
      <c r="G95" s="1" t="e" vm="74">
        <v>#VALUE!</v>
      </c>
      <c r="H95" s="1" t="s">
        <v>114</v>
      </c>
      <c r="I95" s="1"/>
      <c r="J95" s="1"/>
      <c r="K95" s="1" t="s">
        <v>160</v>
      </c>
      <c r="L95" s="7">
        <v>35</v>
      </c>
      <c r="M95" s="9">
        <v>55</v>
      </c>
      <c r="N95" s="11">
        <v>40</v>
      </c>
      <c r="O95" s="13">
        <v>45</v>
      </c>
      <c r="P95" s="15">
        <v>40</v>
      </c>
      <c r="Q95" s="17">
        <v>60</v>
      </c>
      <c r="R95" s="22">
        <f t="shared" si="3"/>
        <v>275</v>
      </c>
    </row>
    <row r="96" spans="2:18" ht="30" customHeight="1" x14ac:dyDescent="0.25">
      <c r="B96" s="5" t="e" vm="105">
        <v>#VALUE!</v>
      </c>
      <c r="C96" s="5">
        <f t="shared" si="2"/>
        <v>93</v>
      </c>
      <c r="D96" s="1" t="s">
        <v>161</v>
      </c>
      <c r="E96" s="44" t="s">
        <v>67</v>
      </c>
      <c r="F96" s="28"/>
      <c r="G96" s="1" t="e" vm="74">
        <v>#VALUE!</v>
      </c>
      <c r="H96" s="1" t="s">
        <v>114</v>
      </c>
      <c r="I96" s="1"/>
      <c r="J96" s="1"/>
      <c r="K96" s="1" t="s">
        <v>162</v>
      </c>
      <c r="L96" s="7">
        <v>65</v>
      </c>
      <c r="M96" s="9">
        <v>85</v>
      </c>
      <c r="N96" s="11">
        <v>70</v>
      </c>
      <c r="O96" s="13">
        <v>75</v>
      </c>
      <c r="P96" s="15">
        <v>70</v>
      </c>
      <c r="Q96" s="17">
        <v>40</v>
      </c>
      <c r="R96" s="22">
        <f t="shared" si="3"/>
        <v>405</v>
      </c>
    </row>
    <row r="97" spans="2:18" ht="30" customHeight="1" x14ac:dyDescent="0.25">
      <c r="B97" s="5" t="e" vm="106">
        <v>#VALUE!</v>
      </c>
      <c r="C97" s="5">
        <f t="shared" si="2"/>
        <v>94</v>
      </c>
      <c r="D97" s="1" t="s">
        <v>163</v>
      </c>
      <c r="E97" s="44" t="s">
        <v>67</v>
      </c>
      <c r="F97" s="28"/>
      <c r="G97" s="1" t="e" vm="74">
        <v>#VALUE!</v>
      </c>
      <c r="H97" s="1" t="s">
        <v>114</v>
      </c>
      <c r="I97" s="1"/>
      <c r="J97" s="1"/>
      <c r="K97" s="1" t="s">
        <v>22</v>
      </c>
      <c r="L97" s="7">
        <v>85</v>
      </c>
      <c r="M97" s="9">
        <v>115</v>
      </c>
      <c r="N97" s="11">
        <v>80</v>
      </c>
      <c r="O97" s="13">
        <v>105</v>
      </c>
      <c r="P97" s="15">
        <v>80</v>
      </c>
      <c r="Q97" s="17">
        <v>50</v>
      </c>
      <c r="R97" s="22">
        <f t="shared" si="3"/>
        <v>515</v>
      </c>
    </row>
    <row r="98" spans="2:18" ht="30" customHeight="1" x14ac:dyDescent="0.25">
      <c r="B98" s="5" t="e" vm="107">
        <v>#VALUE!</v>
      </c>
      <c r="C98" s="5">
        <f t="shared" si="2"/>
        <v>95</v>
      </c>
      <c r="D98" s="1" t="s">
        <v>164</v>
      </c>
      <c r="E98" s="55" t="s">
        <v>48</v>
      </c>
      <c r="F98" s="49" t="s">
        <v>63</v>
      </c>
      <c r="G98" s="1" t="e" vm="10">
        <v>#VALUE!</v>
      </c>
      <c r="H98" s="1" t="s">
        <v>31</v>
      </c>
      <c r="I98" s="1" t="e" vm="64">
        <v>#VALUE!</v>
      </c>
      <c r="J98" s="1" t="s">
        <v>118</v>
      </c>
      <c r="K98" s="1" t="s">
        <v>83</v>
      </c>
      <c r="L98" s="7">
        <v>53</v>
      </c>
      <c r="M98" s="9">
        <v>54</v>
      </c>
      <c r="N98" s="11">
        <v>53</v>
      </c>
      <c r="O98" s="13">
        <v>37</v>
      </c>
      <c r="P98" s="15">
        <v>46</v>
      </c>
      <c r="Q98" s="17">
        <v>45</v>
      </c>
      <c r="R98" s="22">
        <f t="shared" si="3"/>
        <v>288</v>
      </c>
    </row>
    <row r="99" spans="2:18" ht="30" customHeight="1" x14ac:dyDescent="0.25">
      <c r="B99" s="5" t="e" vm="108">
        <v>#VALUE!</v>
      </c>
      <c r="C99" s="5">
        <f t="shared" si="2"/>
        <v>96</v>
      </c>
      <c r="D99" s="1" t="s">
        <v>165</v>
      </c>
      <c r="E99" s="55" t="s">
        <v>48</v>
      </c>
      <c r="F99" s="49" t="s">
        <v>63</v>
      </c>
      <c r="G99" s="1" t="e" vm="10">
        <v>#VALUE!</v>
      </c>
      <c r="H99" s="1" t="s">
        <v>31</v>
      </c>
      <c r="I99" s="1" t="e" vm="64">
        <v>#VALUE!</v>
      </c>
      <c r="J99" s="1" t="s">
        <v>118</v>
      </c>
      <c r="K99" s="1" t="s">
        <v>22</v>
      </c>
      <c r="L99" s="7">
        <v>86</v>
      </c>
      <c r="M99" s="9">
        <v>92</v>
      </c>
      <c r="N99" s="11">
        <v>88</v>
      </c>
      <c r="O99" s="13">
        <v>68</v>
      </c>
      <c r="P99" s="15">
        <v>75</v>
      </c>
      <c r="Q99" s="17">
        <v>73</v>
      </c>
      <c r="R99" s="22">
        <f t="shared" si="3"/>
        <v>482</v>
      </c>
    </row>
    <row r="100" spans="2:18" ht="30" customHeight="1" x14ac:dyDescent="0.25">
      <c r="B100" s="5" t="e" vm="109">
        <v>#VALUE!</v>
      </c>
      <c r="C100" s="5">
        <f t="shared" si="2"/>
        <v>97</v>
      </c>
      <c r="D100" s="1" t="s">
        <v>166</v>
      </c>
      <c r="E100" s="39" t="s">
        <v>27</v>
      </c>
      <c r="F100" s="28"/>
      <c r="G100" s="1" t="e" vm="64">
        <v>#VALUE!</v>
      </c>
      <c r="H100" s="1" t="s">
        <v>118</v>
      </c>
      <c r="I100" s="1" t="e" vm="26">
        <v>#VALUE!</v>
      </c>
      <c r="J100" s="1" t="s">
        <v>54</v>
      </c>
      <c r="K100" s="1" t="s">
        <v>167</v>
      </c>
      <c r="L100" s="7">
        <v>50</v>
      </c>
      <c r="M100" s="9">
        <v>68</v>
      </c>
      <c r="N100" s="11">
        <v>60</v>
      </c>
      <c r="O100" s="13">
        <v>50</v>
      </c>
      <c r="P100" s="15">
        <v>50</v>
      </c>
      <c r="Q100" s="17">
        <v>32</v>
      </c>
      <c r="R100" s="22">
        <f t="shared" si="3"/>
        <v>310</v>
      </c>
    </row>
    <row r="101" spans="2:18" ht="30" customHeight="1" x14ac:dyDescent="0.25">
      <c r="B101" s="5" t="e" vm="110">
        <v>#VALUE!</v>
      </c>
      <c r="C101" s="5">
        <f t="shared" si="2"/>
        <v>98</v>
      </c>
      <c r="D101" s="1" t="s">
        <v>168</v>
      </c>
      <c r="E101" s="39" t="s">
        <v>27</v>
      </c>
      <c r="F101" s="28"/>
      <c r="G101" s="1" t="e" vm="64">
        <v>#VALUE!</v>
      </c>
      <c r="H101" s="1" t="s">
        <v>118</v>
      </c>
      <c r="I101" s="1" t="e" vm="26">
        <v>#VALUE!</v>
      </c>
      <c r="J101" s="1" t="s">
        <v>54</v>
      </c>
      <c r="K101" s="1" t="s">
        <v>22</v>
      </c>
      <c r="L101" s="7">
        <v>80</v>
      </c>
      <c r="M101" s="9">
        <v>118</v>
      </c>
      <c r="N101" s="11">
        <v>90</v>
      </c>
      <c r="O101" s="13">
        <v>70</v>
      </c>
      <c r="P101" s="15">
        <v>80</v>
      </c>
      <c r="Q101" s="17">
        <v>42</v>
      </c>
      <c r="R101" s="22">
        <f t="shared" si="3"/>
        <v>480</v>
      </c>
    </row>
    <row r="102" spans="2:18" ht="30" customHeight="1" x14ac:dyDescent="0.25">
      <c r="B102" s="5" t="e" vm="111">
        <v>#VALUE!</v>
      </c>
      <c r="C102" s="5">
        <f t="shared" si="2"/>
        <v>99</v>
      </c>
      <c r="D102" s="1" t="s">
        <v>169</v>
      </c>
      <c r="E102" s="32" t="s">
        <v>30</v>
      </c>
      <c r="F102" s="28"/>
      <c r="G102" s="1" t="e" vm="102">
        <v>#VALUE!</v>
      </c>
      <c r="H102" s="1" t="s">
        <v>157</v>
      </c>
      <c r="I102" s="1"/>
      <c r="J102" s="1"/>
      <c r="K102" s="1" t="s">
        <v>170</v>
      </c>
      <c r="L102" s="7">
        <v>30</v>
      </c>
      <c r="M102" s="9">
        <v>65</v>
      </c>
      <c r="N102" s="11">
        <v>100</v>
      </c>
      <c r="O102" s="13">
        <v>45</v>
      </c>
      <c r="P102" s="15">
        <v>25</v>
      </c>
      <c r="Q102" s="17">
        <v>40</v>
      </c>
      <c r="R102" s="22">
        <f t="shared" si="3"/>
        <v>305</v>
      </c>
    </row>
    <row r="103" spans="2:18" ht="30" customHeight="1" x14ac:dyDescent="0.25">
      <c r="B103" s="5" t="e" vm="112">
        <v>#VALUE!</v>
      </c>
      <c r="C103" s="5">
        <f t="shared" si="2"/>
        <v>100</v>
      </c>
      <c r="D103" s="1" t="s">
        <v>171</v>
      </c>
      <c r="E103" s="32" t="s">
        <v>30</v>
      </c>
      <c r="F103" s="56" t="s">
        <v>66</v>
      </c>
      <c r="G103" s="1" t="e" vm="102">
        <v>#VALUE!</v>
      </c>
      <c r="H103" s="1" t="s">
        <v>157</v>
      </c>
      <c r="I103" s="1"/>
      <c r="J103" s="1"/>
      <c r="K103" s="1" t="s">
        <v>22</v>
      </c>
      <c r="L103" s="7">
        <v>50</v>
      </c>
      <c r="M103" s="9">
        <v>95</v>
      </c>
      <c r="N103" s="11">
        <v>180</v>
      </c>
      <c r="O103" s="13">
        <v>85</v>
      </c>
      <c r="P103" s="15">
        <v>45</v>
      </c>
      <c r="Q103" s="17">
        <v>70</v>
      </c>
      <c r="R103" s="22">
        <f t="shared" si="3"/>
        <v>525</v>
      </c>
    </row>
    <row r="104" spans="2:18" ht="30" customHeight="1" x14ac:dyDescent="0.25">
      <c r="B104" s="5" t="e" vm="113">
        <v>#VALUE!</v>
      </c>
      <c r="C104" s="5">
        <f t="shared" si="2"/>
        <v>101</v>
      </c>
      <c r="D104" s="1" t="s">
        <v>172</v>
      </c>
      <c r="E104" s="32" t="s">
        <v>30</v>
      </c>
      <c r="F104" s="28"/>
      <c r="G104" s="1" t="e" vm="10">
        <v>#VALUE!</v>
      </c>
      <c r="H104" s="1" t="s">
        <v>31</v>
      </c>
      <c r="I104" s="1" t="e" vm="102">
        <v>#VALUE!</v>
      </c>
      <c r="J104" s="1" t="s">
        <v>157</v>
      </c>
      <c r="K104" s="1" t="s">
        <v>173</v>
      </c>
      <c r="L104" s="7">
        <v>50</v>
      </c>
      <c r="M104" s="9">
        <v>53</v>
      </c>
      <c r="N104" s="11">
        <v>62</v>
      </c>
      <c r="O104" s="13">
        <v>58</v>
      </c>
      <c r="P104" s="15">
        <v>63</v>
      </c>
      <c r="Q104" s="17">
        <v>44</v>
      </c>
      <c r="R104" s="22">
        <f t="shared" si="3"/>
        <v>330</v>
      </c>
    </row>
    <row r="105" spans="2:18" ht="30" customHeight="1" x14ac:dyDescent="0.25">
      <c r="B105" s="5" t="e" vm="114">
        <v>#VALUE!</v>
      </c>
      <c r="C105" s="5">
        <f t="shared" si="2"/>
        <v>102</v>
      </c>
      <c r="D105" s="1" t="s">
        <v>174</v>
      </c>
      <c r="E105" s="32" t="s">
        <v>30</v>
      </c>
      <c r="F105" s="28"/>
      <c r="G105" s="1" t="e" vm="10">
        <v>#VALUE!</v>
      </c>
      <c r="H105" s="1" t="s">
        <v>31</v>
      </c>
      <c r="I105" s="1" t="e" vm="102">
        <v>#VALUE!</v>
      </c>
      <c r="J105" s="1" t="s">
        <v>157</v>
      </c>
      <c r="K105" s="1" t="s">
        <v>22</v>
      </c>
      <c r="L105" s="7">
        <v>71</v>
      </c>
      <c r="M105" s="9">
        <v>73</v>
      </c>
      <c r="N105" s="11">
        <v>88</v>
      </c>
      <c r="O105" s="13">
        <v>120</v>
      </c>
      <c r="P105" s="15">
        <v>89</v>
      </c>
      <c r="Q105" s="17">
        <v>59</v>
      </c>
      <c r="R105" s="22">
        <f t="shared" si="3"/>
        <v>500</v>
      </c>
    </row>
    <row r="106" spans="2:18" ht="30" customHeight="1" x14ac:dyDescent="0.25">
      <c r="B106" s="5" t="e" vm="115">
        <v>#VALUE!</v>
      </c>
      <c r="C106" s="5">
        <f t="shared" si="2"/>
        <v>103</v>
      </c>
      <c r="D106" s="1" t="s">
        <v>175</v>
      </c>
      <c r="E106" s="40" t="s">
        <v>68</v>
      </c>
      <c r="F106" s="51" t="s">
        <v>30</v>
      </c>
      <c r="G106" s="1" t="e" vm="49">
        <v>#VALUE!</v>
      </c>
      <c r="H106" s="1" t="s">
        <v>69</v>
      </c>
      <c r="I106" s="1" t="e" vm="10">
        <v>#VALUE!</v>
      </c>
      <c r="J106" s="1" t="s">
        <v>31</v>
      </c>
      <c r="K106" s="1" t="s">
        <v>176</v>
      </c>
      <c r="L106" s="7">
        <v>50</v>
      </c>
      <c r="M106" s="9">
        <v>60</v>
      </c>
      <c r="N106" s="11">
        <v>60</v>
      </c>
      <c r="O106" s="13">
        <v>60</v>
      </c>
      <c r="P106" s="15">
        <v>60</v>
      </c>
      <c r="Q106" s="17">
        <v>30</v>
      </c>
      <c r="R106" s="22">
        <f t="shared" si="3"/>
        <v>320</v>
      </c>
    </row>
    <row r="107" spans="2:18" ht="30" customHeight="1" x14ac:dyDescent="0.25">
      <c r="B107" s="5" t="e" vm="116">
        <v>#VALUE!</v>
      </c>
      <c r="C107" s="5">
        <f t="shared" si="2"/>
        <v>104</v>
      </c>
      <c r="D107" s="1" t="s">
        <v>177</v>
      </c>
      <c r="E107" s="40" t="s">
        <v>68</v>
      </c>
      <c r="F107" s="43" t="s">
        <v>69</v>
      </c>
      <c r="G107" s="1" t="e" vm="49">
        <v>#VALUE!</v>
      </c>
      <c r="H107" s="1" t="s">
        <v>69</v>
      </c>
      <c r="I107" s="1" t="e" vm="10">
        <v>#VALUE!</v>
      </c>
      <c r="J107" s="1" t="s">
        <v>31</v>
      </c>
      <c r="K107" s="1" t="s">
        <v>22</v>
      </c>
      <c r="L107" s="7">
        <v>65</v>
      </c>
      <c r="M107" s="9">
        <v>75</v>
      </c>
      <c r="N107" s="11">
        <v>90</v>
      </c>
      <c r="O107" s="13">
        <v>97</v>
      </c>
      <c r="P107" s="15">
        <v>123</v>
      </c>
      <c r="Q107" s="17">
        <v>44</v>
      </c>
      <c r="R107" s="22">
        <f t="shared" si="3"/>
        <v>494</v>
      </c>
    </row>
    <row r="108" spans="2:18" ht="30" customHeight="1" x14ac:dyDescent="0.25">
      <c r="B108" s="5" t="e" vm="117">
        <v>#VALUE!</v>
      </c>
      <c r="C108" s="5">
        <f t="shared" si="2"/>
        <v>105</v>
      </c>
      <c r="D108" s="1" t="s">
        <v>178</v>
      </c>
      <c r="E108" s="38" t="s">
        <v>50</v>
      </c>
      <c r="F108" s="28"/>
      <c r="G108" s="1" t="e" vm="3">
        <v>#VALUE!</v>
      </c>
      <c r="H108" s="1" t="s">
        <v>17</v>
      </c>
      <c r="I108" s="1"/>
      <c r="J108" s="1"/>
      <c r="K108" s="1" t="s">
        <v>179</v>
      </c>
      <c r="L108" s="7">
        <v>50</v>
      </c>
      <c r="M108" s="9">
        <v>72</v>
      </c>
      <c r="N108" s="11">
        <v>35</v>
      </c>
      <c r="O108" s="13">
        <v>35</v>
      </c>
      <c r="P108" s="15">
        <v>35</v>
      </c>
      <c r="Q108" s="17">
        <v>65</v>
      </c>
      <c r="R108" s="22">
        <f t="shared" si="3"/>
        <v>292</v>
      </c>
    </row>
    <row r="109" spans="2:18" ht="30" customHeight="1" x14ac:dyDescent="0.25">
      <c r="B109" s="5" t="e" vm="118">
        <v>#VALUE!</v>
      </c>
      <c r="C109" s="5">
        <f t="shared" si="2"/>
        <v>106</v>
      </c>
      <c r="D109" s="1" t="s">
        <v>180</v>
      </c>
      <c r="E109" s="38" t="s">
        <v>50</v>
      </c>
      <c r="F109" s="37" t="s">
        <v>48</v>
      </c>
      <c r="G109" s="1" t="e" vm="3">
        <v>#VALUE!</v>
      </c>
      <c r="H109" s="1" t="s">
        <v>17</v>
      </c>
      <c r="I109" s="1"/>
      <c r="J109" s="1"/>
      <c r="K109" s="1" t="s">
        <v>181</v>
      </c>
      <c r="L109" s="7">
        <v>60</v>
      </c>
      <c r="M109" s="9">
        <v>82</v>
      </c>
      <c r="N109" s="11">
        <v>45</v>
      </c>
      <c r="O109" s="13">
        <v>45</v>
      </c>
      <c r="P109" s="15">
        <v>45</v>
      </c>
      <c r="Q109" s="17">
        <v>74</v>
      </c>
      <c r="R109" s="22">
        <f t="shared" si="3"/>
        <v>351</v>
      </c>
    </row>
    <row r="110" spans="2:18" ht="30" customHeight="1" x14ac:dyDescent="0.25">
      <c r="B110" s="5" t="e" vm="119">
        <v>#VALUE!</v>
      </c>
      <c r="C110" s="5">
        <f t="shared" si="2"/>
        <v>107</v>
      </c>
      <c r="D110" s="1" t="s">
        <v>182</v>
      </c>
      <c r="E110" s="38" t="s">
        <v>50</v>
      </c>
      <c r="F110" s="37" t="s">
        <v>48</v>
      </c>
      <c r="G110" s="1" t="e" vm="3">
        <v>#VALUE!</v>
      </c>
      <c r="H110" s="1" t="s">
        <v>17</v>
      </c>
      <c r="I110" s="1"/>
      <c r="J110" s="1"/>
      <c r="K110" s="1" t="s">
        <v>22</v>
      </c>
      <c r="L110" s="7">
        <v>95</v>
      </c>
      <c r="M110" s="9">
        <v>117</v>
      </c>
      <c r="N110" s="11">
        <v>80</v>
      </c>
      <c r="O110" s="13">
        <v>65</v>
      </c>
      <c r="P110" s="15">
        <v>70</v>
      </c>
      <c r="Q110" s="17">
        <v>92</v>
      </c>
      <c r="R110" s="22">
        <f t="shared" si="3"/>
        <v>519</v>
      </c>
    </row>
    <row r="111" spans="2:18" ht="30" customHeight="1" x14ac:dyDescent="0.25">
      <c r="B111" s="5" t="e" vm="120">
        <v>#VALUE!</v>
      </c>
      <c r="C111" s="5">
        <f t="shared" si="2"/>
        <v>108</v>
      </c>
      <c r="D111" s="1" t="s">
        <v>186</v>
      </c>
      <c r="E111" s="38" t="s">
        <v>50</v>
      </c>
      <c r="F111" s="28"/>
      <c r="G111" s="1" t="e" vm="3">
        <v>#VALUE!</v>
      </c>
      <c r="H111" s="1" t="s">
        <v>17</v>
      </c>
      <c r="I111" s="1" t="e" vm="49">
        <v>#VALUE!</v>
      </c>
      <c r="J111" s="1" t="s">
        <v>69</v>
      </c>
      <c r="K111" s="1" t="s">
        <v>20</v>
      </c>
      <c r="L111" s="7">
        <v>52</v>
      </c>
      <c r="M111" s="9">
        <v>57</v>
      </c>
      <c r="N111" s="11">
        <v>75</v>
      </c>
      <c r="O111" s="13">
        <v>35</v>
      </c>
      <c r="P111" s="15">
        <v>50</v>
      </c>
      <c r="Q111" s="17">
        <v>46</v>
      </c>
      <c r="R111" s="22">
        <f t="shared" si="3"/>
        <v>315</v>
      </c>
    </row>
    <row r="112" spans="2:18" ht="30" customHeight="1" x14ac:dyDescent="0.25">
      <c r="B112" s="5" t="e" vm="121">
        <v>#VALUE!</v>
      </c>
      <c r="C112" s="5">
        <f t="shared" si="2"/>
        <v>109</v>
      </c>
      <c r="D112" s="1" t="s">
        <v>183</v>
      </c>
      <c r="E112" s="38" t="s">
        <v>50</v>
      </c>
      <c r="F112" s="28"/>
      <c r="G112" s="1" t="e" vm="3">
        <v>#VALUE!</v>
      </c>
      <c r="H112" s="1" t="s">
        <v>17</v>
      </c>
      <c r="I112" s="1" t="e" vm="49">
        <v>#VALUE!</v>
      </c>
      <c r="J112" s="1" t="s">
        <v>69</v>
      </c>
      <c r="K112" s="1" t="s">
        <v>22</v>
      </c>
      <c r="L112" s="7">
        <v>72</v>
      </c>
      <c r="M112" s="9">
        <v>107</v>
      </c>
      <c r="N112" s="11">
        <v>125</v>
      </c>
      <c r="O112" s="13">
        <v>65</v>
      </c>
      <c r="P112" s="15">
        <v>70</v>
      </c>
      <c r="Q112" s="17">
        <v>71</v>
      </c>
      <c r="R112" s="22">
        <f t="shared" si="3"/>
        <v>510</v>
      </c>
    </row>
    <row r="113" spans="2:18" ht="30" customHeight="1" x14ac:dyDescent="0.25">
      <c r="B113" s="5" t="e" vm="122">
        <v>#VALUE!</v>
      </c>
      <c r="C113" s="5">
        <f t="shared" si="2"/>
        <v>110</v>
      </c>
      <c r="D113" s="1" t="s">
        <v>184</v>
      </c>
      <c r="E113" s="55" t="s">
        <v>48</v>
      </c>
      <c r="F113" s="31" t="s">
        <v>27</v>
      </c>
      <c r="G113" s="1" t="e" vm="3">
        <v>#VALUE!</v>
      </c>
      <c r="H113" s="1" t="s">
        <v>17</v>
      </c>
      <c r="I113" s="1" t="e" vm="49">
        <v>#VALUE!</v>
      </c>
      <c r="J113" s="1" t="s">
        <v>69</v>
      </c>
      <c r="K113" s="1" t="s">
        <v>160</v>
      </c>
      <c r="L113" s="7">
        <v>50</v>
      </c>
      <c r="M113" s="9">
        <v>75</v>
      </c>
      <c r="N113" s="11">
        <v>70</v>
      </c>
      <c r="O113" s="13">
        <v>35</v>
      </c>
      <c r="P113" s="15">
        <v>70</v>
      </c>
      <c r="Q113" s="17">
        <v>48</v>
      </c>
      <c r="R113" s="22">
        <f t="shared" si="3"/>
        <v>348</v>
      </c>
    </row>
    <row r="114" spans="2:18" ht="30" customHeight="1" x14ac:dyDescent="0.25">
      <c r="B114" s="5" t="e" vm="123">
        <v>#VALUE!</v>
      </c>
      <c r="C114" s="5">
        <f t="shared" si="2"/>
        <v>111</v>
      </c>
      <c r="D114" s="1" t="s">
        <v>185</v>
      </c>
      <c r="E114" s="55" t="s">
        <v>48</v>
      </c>
      <c r="F114" s="31" t="s">
        <v>27</v>
      </c>
      <c r="G114" s="1" t="e" vm="3">
        <v>#VALUE!</v>
      </c>
      <c r="H114" s="1" t="s">
        <v>17</v>
      </c>
      <c r="I114" s="1" t="e" vm="49">
        <v>#VALUE!</v>
      </c>
      <c r="J114" s="1" t="s">
        <v>69</v>
      </c>
      <c r="K114" s="1" t="s">
        <v>22</v>
      </c>
      <c r="L114" s="7">
        <v>65</v>
      </c>
      <c r="M114" s="9">
        <v>90</v>
      </c>
      <c r="N114" s="11">
        <v>115</v>
      </c>
      <c r="O114" s="13">
        <v>45</v>
      </c>
      <c r="P114" s="15">
        <v>115</v>
      </c>
      <c r="Q114" s="17">
        <v>58</v>
      </c>
      <c r="R114" s="22">
        <f t="shared" si="3"/>
        <v>488</v>
      </c>
    </row>
    <row r="115" spans="2:18" ht="30" customHeight="1" x14ac:dyDescent="0.25">
      <c r="B115" s="5" t="e" vm="124">
        <v>#VALUE!</v>
      </c>
      <c r="C115" s="5">
        <f t="shared" si="2"/>
        <v>112</v>
      </c>
      <c r="D115" s="1" t="s">
        <v>187</v>
      </c>
      <c r="E115" s="50" t="s">
        <v>65</v>
      </c>
      <c r="F115" s="57" t="s">
        <v>24</v>
      </c>
      <c r="G115" s="1" t="e" vm="74">
        <v>#VALUE!</v>
      </c>
      <c r="H115" s="1" t="s">
        <v>114</v>
      </c>
      <c r="I115" s="1"/>
      <c r="J115" s="1"/>
      <c r="K115" s="1" t="s">
        <v>188</v>
      </c>
      <c r="L115" s="7">
        <v>50</v>
      </c>
      <c r="M115" s="9">
        <v>30</v>
      </c>
      <c r="N115" s="11">
        <v>55</v>
      </c>
      <c r="O115" s="13">
        <v>65</v>
      </c>
      <c r="P115" s="15">
        <v>55</v>
      </c>
      <c r="Q115" s="17">
        <v>20</v>
      </c>
      <c r="R115" s="22">
        <f t="shared" si="3"/>
        <v>275</v>
      </c>
    </row>
    <row r="116" spans="2:18" ht="30" customHeight="1" x14ac:dyDescent="0.25">
      <c r="B116" s="5" t="e" vm="125">
        <v>#VALUE!</v>
      </c>
      <c r="C116" s="5">
        <f t="shared" si="2"/>
        <v>113</v>
      </c>
      <c r="D116" s="1" t="s">
        <v>189</v>
      </c>
      <c r="E116" s="50" t="s">
        <v>65</v>
      </c>
      <c r="F116" s="57" t="s">
        <v>24</v>
      </c>
      <c r="G116" s="1" t="e" vm="74">
        <v>#VALUE!</v>
      </c>
      <c r="H116" s="1" t="s">
        <v>114</v>
      </c>
      <c r="I116" s="1"/>
      <c r="J116" s="1"/>
      <c r="K116" s="1" t="s">
        <v>128</v>
      </c>
      <c r="L116" s="7">
        <v>60</v>
      </c>
      <c r="M116" s="9">
        <v>40</v>
      </c>
      <c r="N116" s="11">
        <v>60</v>
      </c>
      <c r="O116" s="13">
        <v>95</v>
      </c>
      <c r="P116" s="15">
        <v>60</v>
      </c>
      <c r="Q116" s="17">
        <v>55</v>
      </c>
      <c r="R116" s="22">
        <f t="shared" si="3"/>
        <v>370</v>
      </c>
    </row>
    <row r="117" spans="2:18" ht="30" customHeight="1" x14ac:dyDescent="0.25">
      <c r="B117" s="5" t="e" vm="126">
        <v>#VALUE!</v>
      </c>
      <c r="C117" s="5">
        <f t="shared" si="2"/>
        <v>114</v>
      </c>
      <c r="D117" s="1" t="s">
        <v>190</v>
      </c>
      <c r="E117" s="50" t="s">
        <v>65</v>
      </c>
      <c r="F117" s="57" t="s">
        <v>24</v>
      </c>
      <c r="G117" s="1" t="e" vm="74">
        <v>#VALUE!</v>
      </c>
      <c r="H117" s="1" t="s">
        <v>114</v>
      </c>
      <c r="I117" s="1"/>
      <c r="J117" s="1"/>
      <c r="K117" s="1" t="s">
        <v>22</v>
      </c>
      <c r="L117" s="7">
        <v>60</v>
      </c>
      <c r="M117" s="9">
        <v>55</v>
      </c>
      <c r="N117" s="11">
        <v>90</v>
      </c>
      <c r="O117" s="13">
        <v>145</v>
      </c>
      <c r="P117" s="15">
        <v>90</v>
      </c>
      <c r="Q117" s="17">
        <v>80</v>
      </c>
      <c r="R117" s="22">
        <f t="shared" si="3"/>
        <v>520</v>
      </c>
    </row>
    <row r="118" spans="2:18" ht="30" customHeight="1" x14ac:dyDescent="0.25">
      <c r="B118" s="5" t="e" vm="127">
        <v>#VALUE!</v>
      </c>
      <c r="C118" s="5">
        <f t="shared" si="2"/>
        <v>115</v>
      </c>
      <c r="D118" s="1" t="s">
        <v>191</v>
      </c>
      <c r="E118" s="36" t="s">
        <v>45</v>
      </c>
      <c r="F118" s="58" t="s">
        <v>68</v>
      </c>
      <c r="G118" s="1" t="e" vm="21">
        <v>#VALUE!</v>
      </c>
      <c r="H118" s="1" t="s">
        <v>45</v>
      </c>
      <c r="I118" s="1"/>
      <c r="J118" s="1"/>
      <c r="K118" s="1" t="s">
        <v>51</v>
      </c>
      <c r="L118" s="7">
        <v>30</v>
      </c>
      <c r="M118" s="9">
        <v>45</v>
      </c>
      <c r="N118" s="11">
        <v>59</v>
      </c>
      <c r="O118" s="13">
        <v>30</v>
      </c>
      <c r="P118" s="15">
        <v>39</v>
      </c>
      <c r="Q118" s="17">
        <v>57</v>
      </c>
      <c r="R118" s="22">
        <f t="shared" si="3"/>
        <v>260</v>
      </c>
    </row>
    <row r="119" spans="2:18" ht="30" customHeight="1" x14ac:dyDescent="0.25">
      <c r="B119" s="5" t="e" vm="128">
        <v>#VALUE!</v>
      </c>
      <c r="C119" s="5">
        <f t="shared" si="2"/>
        <v>116</v>
      </c>
      <c r="D119" s="1" t="s">
        <v>192</v>
      </c>
      <c r="E119" s="36" t="s">
        <v>45</v>
      </c>
      <c r="F119" s="58" t="s">
        <v>68</v>
      </c>
      <c r="G119" s="1" t="e" vm="21">
        <v>#VALUE!</v>
      </c>
      <c r="H119" s="1" t="s">
        <v>45</v>
      </c>
      <c r="I119" s="1"/>
      <c r="J119" s="1"/>
      <c r="K119" s="1" t="s">
        <v>83</v>
      </c>
      <c r="L119" s="7">
        <v>40</v>
      </c>
      <c r="M119" s="9">
        <v>55</v>
      </c>
      <c r="N119" s="11">
        <v>99</v>
      </c>
      <c r="O119" s="13">
        <v>40</v>
      </c>
      <c r="P119" s="15">
        <v>79</v>
      </c>
      <c r="Q119" s="17">
        <v>47</v>
      </c>
      <c r="R119" s="22">
        <f t="shared" si="3"/>
        <v>360</v>
      </c>
    </row>
    <row r="120" spans="2:18" ht="30" customHeight="1" x14ac:dyDescent="0.25">
      <c r="B120" s="5" t="e" vm="129">
        <v>#VALUE!</v>
      </c>
      <c r="C120" s="5">
        <f t="shared" si="2"/>
        <v>117</v>
      </c>
      <c r="D120" s="1" t="s">
        <v>193</v>
      </c>
      <c r="E120" s="36" t="s">
        <v>45</v>
      </c>
      <c r="F120" s="58" t="s">
        <v>68</v>
      </c>
      <c r="G120" s="1" t="e" vm="21">
        <v>#VALUE!</v>
      </c>
      <c r="H120" s="1" t="s">
        <v>45</v>
      </c>
      <c r="I120" s="1"/>
      <c r="J120" s="1"/>
      <c r="K120" s="1" t="s">
        <v>22</v>
      </c>
      <c r="L120" s="7">
        <v>60</v>
      </c>
      <c r="M120" s="9">
        <v>100</v>
      </c>
      <c r="N120" s="11">
        <v>89</v>
      </c>
      <c r="O120" s="13">
        <v>55</v>
      </c>
      <c r="P120" s="15">
        <v>69</v>
      </c>
      <c r="Q120" s="17">
        <v>112</v>
      </c>
      <c r="R120" s="22">
        <f t="shared" si="3"/>
        <v>485</v>
      </c>
    </row>
    <row r="121" spans="2:18" ht="30" customHeight="1" x14ac:dyDescent="0.25">
      <c r="B121" s="5" t="e" vm="130">
        <v>#VALUE!</v>
      </c>
      <c r="C121" s="5">
        <f t="shared" si="2"/>
        <v>118</v>
      </c>
      <c r="D121" s="1" t="s">
        <v>194</v>
      </c>
      <c r="E121" s="36" t="s">
        <v>45</v>
      </c>
      <c r="F121" s="28"/>
      <c r="G121" s="1" t="e" vm="21">
        <v>#VALUE!</v>
      </c>
      <c r="H121" s="1" t="s">
        <v>45</v>
      </c>
      <c r="I121" s="1"/>
      <c r="J121" s="1"/>
      <c r="K121" s="1" t="s">
        <v>119</v>
      </c>
      <c r="L121" s="7">
        <v>47</v>
      </c>
      <c r="M121" s="9">
        <v>62</v>
      </c>
      <c r="N121" s="11">
        <v>45</v>
      </c>
      <c r="O121" s="13">
        <v>55</v>
      </c>
      <c r="P121" s="15">
        <v>45</v>
      </c>
      <c r="Q121" s="17">
        <v>46</v>
      </c>
      <c r="R121" s="22">
        <f t="shared" si="3"/>
        <v>300</v>
      </c>
    </row>
    <row r="122" spans="2:18" ht="30" customHeight="1" x14ac:dyDescent="0.25">
      <c r="B122" s="5" t="e" vm="131">
        <v>#VALUE!</v>
      </c>
      <c r="C122" s="5">
        <f t="shared" si="2"/>
        <v>119</v>
      </c>
      <c r="D122" s="1" t="s">
        <v>195</v>
      </c>
      <c r="E122" s="36" t="s">
        <v>45</v>
      </c>
      <c r="F122" s="59" t="s">
        <v>67</v>
      </c>
      <c r="G122" s="1" t="e" vm="21">
        <v>#VALUE!</v>
      </c>
      <c r="H122" s="1" t="s">
        <v>45</v>
      </c>
      <c r="I122" s="1"/>
      <c r="J122" s="1"/>
      <c r="K122" s="1" t="s">
        <v>162</v>
      </c>
      <c r="L122" s="7">
        <v>57</v>
      </c>
      <c r="M122" s="9">
        <v>82</v>
      </c>
      <c r="N122" s="11">
        <v>95</v>
      </c>
      <c r="O122" s="13">
        <v>55</v>
      </c>
      <c r="P122" s="15">
        <v>75</v>
      </c>
      <c r="Q122" s="17">
        <v>36</v>
      </c>
      <c r="R122" s="22">
        <f t="shared" si="3"/>
        <v>400</v>
      </c>
    </row>
    <row r="123" spans="2:18" ht="30" customHeight="1" x14ac:dyDescent="0.25">
      <c r="B123" s="5" t="e" vm="132">
        <v>#VALUE!</v>
      </c>
      <c r="C123" s="5">
        <f t="shared" si="2"/>
        <v>120</v>
      </c>
      <c r="D123" s="1" t="s">
        <v>196</v>
      </c>
      <c r="E123" s="36" t="s">
        <v>45</v>
      </c>
      <c r="F123" s="59" t="s">
        <v>67</v>
      </c>
      <c r="G123" s="1" t="e" vm="21">
        <v>#VALUE!</v>
      </c>
      <c r="H123" s="1" t="s">
        <v>45</v>
      </c>
      <c r="I123" s="1"/>
      <c r="J123" s="1"/>
      <c r="K123" s="1" t="s">
        <v>22</v>
      </c>
      <c r="L123" s="7">
        <v>77</v>
      </c>
      <c r="M123" s="9">
        <v>70</v>
      </c>
      <c r="N123" s="11">
        <v>90</v>
      </c>
      <c r="O123" s="13">
        <v>145</v>
      </c>
      <c r="P123" s="15">
        <v>75</v>
      </c>
      <c r="Q123" s="17">
        <v>43</v>
      </c>
      <c r="R123" s="22">
        <f t="shared" si="3"/>
        <v>500</v>
      </c>
    </row>
    <row r="124" spans="2:18" ht="30" customHeight="1" x14ac:dyDescent="0.25">
      <c r="B124" s="5" t="e" vm="133">
        <v>#VALUE!</v>
      </c>
      <c r="C124" s="5">
        <f t="shared" si="2"/>
        <v>121</v>
      </c>
      <c r="D124" s="1" t="s">
        <v>197</v>
      </c>
      <c r="E124" s="27" t="s">
        <v>16</v>
      </c>
      <c r="F124" s="57" t="s">
        <v>24</v>
      </c>
      <c r="G124" s="1" t="e" vm="2">
        <v>#VALUE!</v>
      </c>
      <c r="H124" s="1" t="s">
        <v>16</v>
      </c>
      <c r="I124" s="1"/>
      <c r="J124" s="1"/>
      <c r="K124" s="1" t="s">
        <v>109</v>
      </c>
      <c r="L124" s="7">
        <v>50</v>
      </c>
      <c r="M124" s="9">
        <v>62</v>
      </c>
      <c r="N124" s="11">
        <v>40</v>
      </c>
      <c r="O124" s="13">
        <v>62</v>
      </c>
      <c r="P124" s="15">
        <v>40</v>
      </c>
      <c r="Q124" s="17">
        <v>50</v>
      </c>
      <c r="R124" s="22">
        <f t="shared" si="3"/>
        <v>304</v>
      </c>
    </row>
    <row r="125" spans="2:18" ht="30" customHeight="1" x14ac:dyDescent="0.25">
      <c r="B125" s="5" t="e" vm="134">
        <v>#VALUE!</v>
      </c>
      <c r="C125" s="5">
        <f t="shared" si="2"/>
        <v>122</v>
      </c>
      <c r="D125" s="1" t="s">
        <v>198</v>
      </c>
      <c r="E125" s="27" t="s">
        <v>16</v>
      </c>
      <c r="F125" s="57" t="s">
        <v>24</v>
      </c>
      <c r="G125" s="1" t="e" vm="2">
        <v>#VALUE!</v>
      </c>
      <c r="H125" s="1" t="s">
        <v>16</v>
      </c>
      <c r="I125" s="1"/>
      <c r="J125" s="1"/>
      <c r="K125" s="1" t="s">
        <v>22</v>
      </c>
      <c r="L125" s="7">
        <v>65</v>
      </c>
      <c r="M125" s="9">
        <v>108</v>
      </c>
      <c r="N125" s="11">
        <v>65</v>
      </c>
      <c r="O125" s="13">
        <v>108</v>
      </c>
      <c r="P125" s="15">
        <v>65</v>
      </c>
      <c r="Q125" s="17">
        <v>75</v>
      </c>
      <c r="R125" s="22">
        <f t="shared" si="3"/>
        <v>486</v>
      </c>
    </row>
    <row r="126" spans="2:18" ht="30" customHeight="1" x14ac:dyDescent="0.25">
      <c r="B126" s="5" t="e" vm="135">
        <v>#VALUE!</v>
      </c>
      <c r="C126" s="5">
        <f t="shared" si="2"/>
        <v>123</v>
      </c>
      <c r="D126" s="1" t="s">
        <v>199</v>
      </c>
      <c r="E126" s="53" t="s">
        <v>63</v>
      </c>
      <c r="F126" s="28"/>
      <c r="G126" s="1" t="e" vm="17">
        <v>#VALUE!</v>
      </c>
      <c r="H126" s="1" t="s">
        <v>41</v>
      </c>
      <c r="I126" s="1"/>
      <c r="J126" s="1"/>
      <c r="K126" s="1" t="s">
        <v>126</v>
      </c>
      <c r="L126" s="7">
        <v>30</v>
      </c>
      <c r="M126" s="9">
        <v>35</v>
      </c>
      <c r="N126" s="11">
        <v>30</v>
      </c>
      <c r="O126" s="13">
        <v>55</v>
      </c>
      <c r="P126" s="15">
        <v>30</v>
      </c>
      <c r="Q126" s="17">
        <v>75</v>
      </c>
      <c r="R126" s="22">
        <f t="shared" si="3"/>
        <v>255</v>
      </c>
    </row>
    <row r="127" spans="2:18" ht="30" customHeight="1" x14ac:dyDescent="0.25">
      <c r="B127" s="5" t="e" vm="136">
        <v>#VALUE!</v>
      </c>
      <c r="C127" s="5">
        <f t="shared" si="2"/>
        <v>124</v>
      </c>
      <c r="D127" s="1" t="s">
        <v>200</v>
      </c>
      <c r="E127" s="53" t="s">
        <v>63</v>
      </c>
      <c r="F127" s="28"/>
      <c r="G127" s="1" t="e" vm="17">
        <v>#VALUE!</v>
      </c>
      <c r="H127" s="1" t="s">
        <v>41</v>
      </c>
      <c r="I127" s="1"/>
      <c r="J127" s="1"/>
      <c r="K127" s="1" t="s">
        <v>22</v>
      </c>
      <c r="L127" s="7">
        <v>95</v>
      </c>
      <c r="M127" s="9">
        <v>60</v>
      </c>
      <c r="N127" s="11">
        <v>60</v>
      </c>
      <c r="O127" s="13">
        <v>101</v>
      </c>
      <c r="P127" s="15">
        <v>60</v>
      </c>
      <c r="Q127" s="17">
        <v>105</v>
      </c>
      <c r="R127" s="22">
        <f t="shared" si="3"/>
        <v>481</v>
      </c>
    </row>
    <row r="128" spans="2:18" ht="30" customHeight="1" x14ac:dyDescent="0.25">
      <c r="B128" s="5" t="e" vm="137">
        <v>#VALUE!</v>
      </c>
      <c r="C128" s="5">
        <f t="shared" si="2"/>
        <v>125</v>
      </c>
      <c r="D128" s="1" t="s">
        <v>201</v>
      </c>
      <c r="E128" s="38" t="s">
        <v>50</v>
      </c>
      <c r="F128" s="48" t="s">
        <v>64</v>
      </c>
      <c r="G128" s="1" t="e" vm="138">
        <v>#VALUE!</v>
      </c>
      <c r="H128" s="1" t="s">
        <v>202</v>
      </c>
      <c r="I128" s="1" t="e" vm="3">
        <v>#VALUE!</v>
      </c>
      <c r="J128" s="1" t="s">
        <v>17</v>
      </c>
      <c r="K128" s="1" t="s">
        <v>203</v>
      </c>
      <c r="L128" s="7">
        <v>80</v>
      </c>
      <c r="M128" s="9">
        <v>85</v>
      </c>
      <c r="N128" s="11">
        <v>95</v>
      </c>
      <c r="O128" s="13">
        <v>30</v>
      </c>
      <c r="P128" s="15">
        <v>30</v>
      </c>
      <c r="Q128" s="17">
        <v>25</v>
      </c>
      <c r="R128" s="22">
        <f t="shared" si="3"/>
        <v>345</v>
      </c>
    </row>
    <row r="129" spans="2:18" ht="30" customHeight="1" x14ac:dyDescent="0.25">
      <c r="B129" s="5" t="e" vm="139">
        <v>#VALUE!</v>
      </c>
      <c r="C129" s="5">
        <f t="shared" si="2"/>
        <v>126</v>
      </c>
      <c r="D129" s="1" t="s">
        <v>204</v>
      </c>
      <c r="E129" s="38" t="s">
        <v>50</v>
      </c>
      <c r="F129" s="48" t="s">
        <v>64</v>
      </c>
      <c r="G129" s="1" t="e" vm="138">
        <v>#VALUE!</v>
      </c>
      <c r="H129" s="1" t="s">
        <v>202</v>
      </c>
      <c r="I129" s="1" t="e" vm="3">
        <v>#VALUE!</v>
      </c>
      <c r="J129" s="1" t="s">
        <v>17</v>
      </c>
      <c r="K129" s="1" t="s">
        <v>261</v>
      </c>
      <c r="L129" s="7">
        <v>105</v>
      </c>
      <c r="M129" s="9">
        <v>130</v>
      </c>
      <c r="N129" s="11">
        <v>120</v>
      </c>
      <c r="O129" s="13">
        <v>45</v>
      </c>
      <c r="P129" s="15">
        <v>45</v>
      </c>
      <c r="Q129" s="17">
        <v>40</v>
      </c>
      <c r="R129" s="22">
        <f t="shared" si="3"/>
        <v>485</v>
      </c>
    </row>
    <row r="130" spans="2:18" ht="30" customHeight="1" x14ac:dyDescent="0.25">
      <c r="B130" s="5" t="e" vm="140">
        <v>#VALUE!</v>
      </c>
      <c r="C130" s="5">
        <f t="shared" si="2"/>
        <v>127</v>
      </c>
      <c r="D130" s="1" t="s">
        <v>205</v>
      </c>
      <c r="E130" s="38" t="s">
        <v>50</v>
      </c>
      <c r="F130" s="48" t="s">
        <v>64</v>
      </c>
      <c r="G130" s="1" t="e" vm="138">
        <v>#VALUE!</v>
      </c>
      <c r="H130" s="1" t="s">
        <v>202</v>
      </c>
      <c r="I130" s="1" t="e" vm="3">
        <v>#VALUE!</v>
      </c>
      <c r="J130" s="1" t="s">
        <v>17</v>
      </c>
      <c r="K130" s="1" t="s">
        <v>22</v>
      </c>
      <c r="L130" s="7">
        <v>115</v>
      </c>
      <c r="M130" s="9">
        <v>140</v>
      </c>
      <c r="N130" s="11">
        <v>130</v>
      </c>
      <c r="O130" s="13">
        <v>55</v>
      </c>
      <c r="P130" s="15">
        <v>55</v>
      </c>
      <c r="Q130" s="17">
        <v>40</v>
      </c>
      <c r="R130" s="22">
        <f t="shared" si="3"/>
        <v>535</v>
      </c>
    </row>
    <row r="131" spans="2:18" ht="30" customHeight="1" x14ac:dyDescent="0.25">
      <c r="B131" t="e" vm="141">
        <v>#VALUE!</v>
      </c>
      <c r="C131" s="5">
        <f t="shared" si="2"/>
        <v>128</v>
      </c>
      <c r="D131" s="1" t="s">
        <v>251</v>
      </c>
      <c r="E131" s="32" t="s">
        <v>30</v>
      </c>
      <c r="F131" s="59" t="s">
        <v>67</v>
      </c>
      <c r="G131" s="1" t="e" vm="64">
        <v>#VALUE!</v>
      </c>
      <c r="H131" s="1" t="s">
        <v>118</v>
      </c>
      <c r="K131" s="1" t="s">
        <v>207</v>
      </c>
      <c r="L131" s="7">
        <v>75</v>
      </c>
      <c r="M131" s="9">
        <v>38</v>
      </c>
      <c r="N131" s="11">
        <v>38</v>
      </c>
      <c r="O131" s="13">
        <v>56</v>
      </c>
      <c r="P131" s="15">
        <v>56</v>
      </c>
      <c r="Q131" s="17">
        <v>67</v>
      </c>
      <c r="R131" s="22">
        <f t="shared" si="3"/>
        <v>330</v>
      </c>
    </row>
    <row r="132" spans="2:18" ht="30" customHeight="1" x14ac:dyDescent="0.25">
      <c r="B132" t="e" vm="142">
        <v>#VALUE!</v>
      </c>
      <c r="C132" s="5">
        <f t="shared" si="2"/>
        <v>129</v>
      </c>
      <c r="D132" s="1" t="s">
        <v>206</v>
      </c>
      <c r="E132" s="32" t="s">
        <v>30</v>
      </c>
      <c r="F132" s="59" t="s">
        <v>67</v>
      </c>
      <c r="G132" s="1" t="e" vm="64">
        <v>#VALUE!</v>
      </c>
      <c r="H132" s="1" t="s">
        <v>118</v>
      </c>
      <c r="K132" s="1" t="s">
        <v>22</v>
      </c>
      <c r="L132" s="7">
        <v>125</v>
      </c>
      <c r="M132" s="9">
        <v>58</v>
      </c>
      <c r="N132" s="11">
        <v>58</v>
      </c>
      <c r="O132" s="13">
        <v>76</v>
      </c>
      <c r="P132" s="15">
        <v>76</v>
      </c>
      <c r="Q132" s="17">
        <v>67</v>
      </c>
      <c r="R132" s="22">
        <f t="shared" si="3"/>
        <v>460</v>
      </c>
    </row>
    <row r="133" spans="2:18" ht="30" customHeight="1" x14ac:dyDescent="0.25">
      <c r="B133" s="5" t="e" vm="143">
        <v>#VALUE!</v>
      </c>
      <c r="C133" s="5">
        <f t="shared" si="2"/>
        <v>130</v>
      </c>
      <c r="D133" s="1" t="s">
        <v>210</v>
      </c>
      <c r="E133" s="38" t="s">
        <v>50</v>
      </c>
      <c r="F133" s="28"/>
      <c r="G133" s="1" t="e" vm="3">
        <v>#VALUE!</v>
      </c>
      <c r="H133" s="1" t="s">
        <v>17</v>
      </c>
      <c r="I133" s="1"/>
      <c r="J133" s="1"/>
      <c r="K133" s="1" t="s">
        <v>208</v>
      </c>
      <c r="L133" s="7">
        <v>60</v>
      </c>
      <c r="M133" s="9">
        <v>85</v>
      </c>
      <c r="N133" s="11">
        <v>40</v>
      </c>
      <c r="O133" s="13">
        <v>30</v>
      </c>
      <c r="P133" s="15">
        <v>45</v>
      </c>
      <c r="Q133" s="17">
        <v>68</v>
      </c>
      <c r="R133" s="22">
        <f t="shared" si="3"/>
        <v>328</v>
      </c>
    </row>
    <row r="134" spans="2:18" ht="30" customHeight="1" x14ac:dyDescent="0.25">
      <c r="B134" s="5" t="e" vm="144">
        <v>#VALUE!</v>
      </c>
      <c r="C134" s="5">
        <f t="shared" ref="C134:C197" si="5">C133+1</f>
        <v>131</v>
      </c>
      <c r="D134" s="1" t="s">
        <v>209</v>
      </c>
      <c r="E134" s="38" t="s">
        <v>50</v>
      </c>
      <c r="F134" s="33" t="s">
        <v>34</v>
      </c>
      <c r="G134" s="1" t="e" vm="3">
        <v>#VALUE!</v>
      </c>
      <c r="H134" s="1" t="s">
        <v>17</v>
      </c>
      <c r="I134" s="1"/>
      <c r="J134" s="1"/>
      <c r="K134" s="1" t="s">
        <v>22</v>
      </c>
      <c r="L134" s="7">
        <v>110</v>
      </c>
      <c r="M134" s="9">
        <v>135</v>
      </c>
      <c r="N134" s="11">
        <v>60</v>
      </c>
      <c r="O134" s="13">
        <v>50</v>
      </c>
      <c r="P134" s="15">
        <v>65</v>
      </c>
      <c r="Q134" s="17">
        <v>88</v>
      </c>
      <c r="R134" s="22">
        <f t="shared" ref="R134:R197" si="6">SUM(L134:Q134)</f>
        <v>508</v>
      </c>
    </row>
    <row r="135" spans="2:18" ht="30" customHeight="1" x14ac:dyDescent="0.25">
      <c r="B135" s="5" t="e" vm="145">
        <v>#VALUE!</v>
      </c>
      <c r="C135" s="5">
        <f t="shared" si="5"/>
        <v>132</v>
      </c>
      <c r="D135" s="1" t="s">
        <v>211</v>
      </c>
      <c r="E135" s="23" t="s">
        <v>64</v>
      </c>
      <c r="F135" s="60"/>
      <c r="G135" s="1" t="e" vm="34">
        <v>#VALUE!</v>
      </c>
      <c r="H135" s="1" t="s">
        <v>71</v>
      </c>
      <c r="I135" s="1"/>
      <c r="J135" s="1"/>
      <c r="K135" s="1" t="s">
        <v>42</v>
      </c>
      <c r="L135" s="7">
        <v>30</v>
      </c>
      <c r="M135" s="9">
        <v>40</v>
      </c>
      <c r="N135" s="11">
        <v>50</v>
      </c>
      <c r="O135" s="13">
        <v>40</v>
      </c>
      <c r="P135" s="15">
        <v>50</v>
      </c>
      <c r="Q135" s="17">
        <v>30</v>
      </c>
      <c r="R135" s="22">
        <f t="shared" si="6"/>
        <v>240</v>
      </c>
    </row>
    <row r="136" spans="2:18" ht="30" customHeight="1" x14ac:dyDescent="0.25">
      <c r="B136" s="5" t="e" vm="146">
        <v>#VALUE!</v>
      </c>
      <c r="C136" s="5">
        <f t="shared" si="5"/>
        <v>133</v>
      </c>
      <c r="D136" s="1" t="s">
        <v>212</v>
      </c>
      <c r="E136" s="23" t="s">
        <v>64</v>
      </c>
      <c r="F136" s="57" t="s">
        <v>24</v>
      </c>
      <c r="G136" s="1" t="e" vm="34">
        <v>#VALUE!</v>
      </c>
      <c r="H136" s="1" t="s">
        <v>71</v>
      </c>
      <c r="I136" s="1"/>
      <c r="J136" s="1"/>
      <c r="K136" s="1" t="s">
        <v>104</v>
      </c>
      <c r="L136" s="7">
        <v>80</v>
      </c>
      <c r="M136" s="9">
        <v>60</v>
      </c>
      <c r="N136" s="11">
        <v>90</v>
      </c>
      <c r="O136" s="13">
        <v>60</v>
      </c>
      <c r="P136" s="15">
        <v>70</v>
      </c>
      <c r="Q136" s="17">
        <v>50</v>
      </c>
      <c r="R136" s="22">
        <f t="shared" si="6"/>
        <v>410</v>
      </c>
    </row>
    <row r="137" spans="2:18" ht="30" customHeight="1" x14ac:dyDescent="0.25">
      <c r="B137" s="5" t="e" vm="147">
        <v>#VALUE!</v>
      </c>
      <c r="C137" s="5">
        <f t="shared" si="5"/>
        <v>134</v>
      </c>
      <c r="D137" s="1" t="s">
        <v>213</v>
      </c>
      <c r="E137" s="23" t="s">
        <v>64</v>
      </c>
      <c r="F137" s="57" t="s">
        <v>24</v>
      </c>
      <c r="G137" s="1" t="e" vm="34">
        <v>#VALUE!</v>
      </c>
      <c r="H137" s="1" t="s">
        <v>71</v>
      </c>
      <c r="I137" s="1"/>
      <c r="J137" s="1"/>
      <c r="K137" s="1" t="s">
        <v>22</v>
      </c>
      <c r="L137" s="7">
        <v>110</v>
      </c>
      <c r="M137" s="9">
        <v>80</v>
      </c>
      <c r="N137" s="11">
        <v>120</v>
      </c>
      <c r="O137" s="13">
        <v>80</v>
      </c>
      <c r="P137" s="15">
        <v>90</v>
      </c>
      <c r="Q137" s="17">
        <v>30</v>
      </c>
      <c r="R137" s="22">
        <f t="shared" si="6"/>
        <v>510</v>
      </c>
    </row>
    <row r="138" spans="2:18" ht="30" customHeight="1" x14ac:dyDescent="0.25">
      <c r="B138" s="5" t="e" vm="148">
        <v>#VALUE!</v>
      </c>
      <c r="C138" s="5">
        <f t="shared" si="5"/>
        <v>135</v>
      </c>
      <c r="D138" s="1" t="s">
        <v>217</v>
      </c>
      <c r="E138" s="52" t="s">
        <v>34</v>
      </c>
      <c r="F138" s="48" t="s">
        <v>64</v>
      </c>
      <c r="G138" s="1" t="e" vm="138">
        <v>#VALUE!</v>
      </c>
      <c r="H138" s="1" t="s">
        <v>202</v>
      </c>
      <c r="I138" s="1"/>
      <c r="J138" s="1"/>
      <c r="K138" s="1" t="s">
        <v>39</v>
      </c>
      <c r="L138" s="7">
        <v>50</v>
      </c>
      <c r="M138" s="9">
        <v>70</v>
      </c>
      <c r="N138" s="11">
        <v>100</v>
      </c>
      <c r="O138" s="13">
        <v>40</v>
      </c>
      <c r="P138" s="15">
        <v>40</v>
      </c>
      <c r="Q138" s="17">
        <v>30</v>
      </c>
      <c r="R138" s="22">
        <f t="shared" si="6"/>
        <v>330</v>
      </c>
    </row>
    <row r="139" spans="2:18" ht="30" customHeight="1" x14ac:dyDescent="0.25">
      <c r="B139" s="5" t="e" vm="149">
        <v>#VALUE!</v>
      </c>
      <c r="C139" s="5">
        <f t="shared" si="5"/>
        <v>136</v>
      </c>
      <c r="D139" s="1" t="s">
        <v>218</v>
      </c>
      <c r="E139" s="52" t="s">
        <v>34</v>
      </c>
      <c r="F139" s="48" t="s">
        <v>64</v>
      </c>
      <c r="G139" s="1" t="e" vm="138">
        <v>#VALUE!</v>
      </c>
      <c r="H139" s="1" t="s">
        <v>202</v>
      </c>
      <c r="I139" s="1"/>
      <c r="J139" s="1"/>
      <c r="K139" s="1" t="s">
        <v>203</v>
      </c>
      <c r="L139" s="7">
        <v>60</v>
      </c>
      <c r="M139" s="9">
        <v>90</v>
      </c>
      <c r="N139" s="11">
        <v>140</v>
      </c>
      <c r="O139" s="13">
        <v>50</v>
      </c>
      <c r="P139" s="15">
        <v>50</v>
      </c>
      <c r="Q139" s="17">
        <v>40</v>
      </c>
      <c r="R139" s="22">
        <f t="shared" si="6"/>
        <v>430</v>
      </c>
    </row>
    <row r="140" spans="2:18" ht="30" customHeight="1" x14ac:dyDescent="0.25">
      <c r="B140" s="5" t="e" vm="150">
        <v>#VALUE!</v>
      </c>
      <c r="C140" s="5">
        <f t="shared" si="5"/>
        <v>137</v>
      </c>
      <c r="D140" s="1" t="s">
        <v>219</v>
      </c>
      <c r="E140" s="52" t="s">
        <v>34</v>
      </c>
      <c r="F140" s="48" t="s">
        <v>64</v>
      </c>
      <c r="G140" s="1" t="e" vm="138">
        <v>#VALUE!</v>
      </c>
      <c r="H140" s="1" t="s">
        <v>202</v>
      </c>
      <c r="I140" s="1"/>
      <c r="J140" s="1"/>
      <c r="K140" s="1" t="s">
        <v>22</v>
      </c>
      <c r="L140" s="7">
        <v>70</v>
      </c>
      <c r="M140" s="9">
        <v>110</v>
      </c>
      <c r="N140" s="11">
        <v>180</v>
      </c>
      <c r="O140" s="13">
        <v>60</v>
      </c>
      <c r="P140" s="15">
        <v>60</v>
      </c>
      <c r="Q140" s="17">
        <v>50</v>
      </c>
      <c r="R140" s="22">
        <f t="shared" si="6"/>
        <v>530</v>
      </c>
    </row>
    <row r="141" spans="2:18" ht="30" customHeight="1" x14ac:dyDescent="0.25">
      <c r="B141" s="5" t="e" vm="151">
        <v>#VALUE!</v>
      </c>
      <c r="C141" s="5">
        <f t="shared" si="5"/>
        <v>138</v>
      </c>
      <c r="D141" s="1" t="s">
        <v>214</v>
      </c>
      <c r="E141" s="54" t="s">
        <v>60</v>
      </c>
      <c r="F141" s="33" t="s">
        <v>34</v>
      </c>
      <c r="G141" s="1" t="e" vm="31">
        <v>#VALUE!</v>
      </c>
      <c r="H141" s="1" t="s">
        <v>60</v>
      </c>
      <c r="I141" s="1"/>
      <c r="J141" s="1"/>
      <c r="K141" s="1" t="s">
        <v>46</v>
      </c>
      <c r="L141" s="7">
        <v>50</v>
      </c>
      <c r="M141" s="9">
        <v>45</v>
      </c>
      <c r="N141" s="11">
        <v>45</v>
      </c>
      <c r="O141" s="13">
        <v>35</v>
      </c>
      <c r="P141" s="15">
        <v>64</v>
      </c>
      <c r="Q141" s="17">
        <v>58</v>
      </c>
      <c r="R141" s="22">
        <f t="shared" si="6"/>
        <v>297</v>
      </c>
    </row>
    <row r="142" spans="2:18" ht="30" customHeight="1" x14ac:dyDescent="0.25">
      <c r="B142" s="5" t="e" vm="152">
        <v>#VALUE!</v>
      </c>
      <c r="C142" s="5">
        <f t="shared" si="5"/>
        <v>139</v>
      </c>
      <c r="D142" s="1" t="s">
        <v>215</v>
      </c>
      <c r="E142" s="54" t="s">
        <v>60</v>
      </c>
      <c r="F142" s="33" t="s">
        <v>34</v>
      </c>
      <c r="G142" s="1" t="e" vm="31">
        <v>#VALUE!</v>
      </c>
      <c r="H142" s="1" t="s">
        <v>60</v>
      </c>
      <c r="I142" s="1"/>
      <c r="J142" s="1"/>
      <c r="K142" s="1" t="s">
        <v>43</v>
      </c>
      <c r="L142" s="7">
        <v>65</v>
      </c>
      <c r="M142" s="9">
        <v>55</v>
      </c>
      <c r="N142" s="11">
        <v>55</v>
      </c>
      <c r="O142" s="13">
        <v>45</v>
      </c>
      <c r="P142" s="15">
        <v>82</v>
      </c>
      <c r="Q142" s="17">
        <v>78</v>
      </c>
      <c r="R142" s="22">
        <f t="shared" si="6"/>
        <v>380</v>
      </c>
    </row>
    <row r="143" spans="2:18" ht="30" customHeight="1" x14ac:dyDescent="0.25">
      <c r="B143" s="5" t="e" vm="153">
        <v>#VALUE!</v>
      </c>
      <c r="C143" s="5">
        <f t="shared" si="5"/>
        <v>140</v>
      </c>
      <c r="D143" s="1" t="s">
        <v>216</v>
      </c>
      <c r="E143" s="54" t="s">
        <v>60</v>
      </c>
      <c r="F143" s="33" t="s">
        <v>34</v>
      </c>
      <c r="G143" s="1" t="e" vm="31">
        <v>#VALUE!</v>
      </c>
      <c r="H143" s="1" t="s">
        <v>60</v>
      </c>
      <c r="I143" s="1"/>
      <c r="J143" s="1"/>
      <c r="K143" s="1" t="s">
        <v>22</v>
      </c>
      <c r="L143" s="7">
        <v>85</v>
      </c>
      <c r="M143" s="9">
        <v>75</v>
      </c>
      <c r="N143" s="11">
        <v>77</v>
      </c>
      <c r="O143" s="13">
        <v>70</v>
      </c>
      <c r="P143" s="15">
        <v>105</v>
      </c>
      <c r="Q143" s="17">
        <v>94</v>
      </c>
      <c r="R143" s="22">
        <f t="shared" si="6"/>
        <v>506</v>
      </c>
    </row>
    <row r="144" spans="2:18" ht="30" customHeight="1" x14ac:dyDescent="0.25">
      <c r="B144" s="5" t="e" vm="154">
        <v>#VALUE!</v>
      </c>
      <c r="C144" s="5">
        <f t="shared" si="5"/>
        <v>141</v>
      </c>
      <c r="D144" s="1" t="s">
        <v>220</v>
      </c>
      <c r="E144" s="23" t="s">
        <v>64</v>
      </c>
      <c r="F144" s="24" t="s">
        <v>60</v>
      </c>
      <c r="G144" s="1" t="e" vm="31">
        <v>#VALUE!</v>
      </c>
      <c r="H144" s="1" t="s">
        <v>60</v>
      </c>
      <c r="I144" s="1" t="e" vm="34">
        <v>#VALUE!</v>
      </c>
      <c r="J144" s="1" t="s">
        <v>71</v>
      </c>
      <c r="K144" s="1" t="s">
        <v>22</v>
      </c>
      <c r="L144" s="7">
        <v>50</v>
      </c>
      <c r="M144" s="9">
        <v>50</v>
      </c>
      <c r="N144" s="11">
        <v>150</v>
      </c>
      <c r="O144" s="13">
        <v>50</v>
      </c>
      <c r="P144" s="15">
        <v>150</v>
      </c>
      <c r="Q144" s="17">
        <v>50</v>
      </c>
      <c r="R144" s="22">
        <f t="shared" si="6"/>
        <v>500</v>
      </c>
    </row>
    <row r="145" spans="2:18" ht="30" customHeight="1" x14ac:dyDescent="0.25">
      <c r="B145" s="5" t="e" vm="155">
        <v>#VALUE!</v>
      </c>
      <c r="C145" s="5">
        <f t="shared" si="5"/>
        <v>142</v>
      </c>
      <c r="D145" s="1" t="s">
        <v>221</v>
      </c>
      <c r="E145" s="40" t="s">
        <v>68</v>
      </c>
      <c r="F145" s="51" t="s">
        <v>30</v>
      </c>
      <c r="G145" s="1" t="e" vm="10">
        <v>#VALUE!</v>
      </c>
      <c r="H145" s="1" t="s">
        <v>31</v>
      </c>
      <c r="I145" s="1"/>
      <c r="J145" s="1"/>
      <c r="K145" s="1" t="s">
        <v>43</v>
      </c>
      <c r="L145" s="7">
        <v>50</v>
      </c>
      <c r="M145" s="9">
        <v>53</v>
      </c>
      <c r="N145" s="11">
        <v>62</v>
      </c>
      <c r="O145" s="13">
        <v>43</v>
      </c>
      <c r="P145" s="15">
        <v>52</v>
      </c>
      <c r="Q145" s="17">
        <v>45</v>
      </c>
      <c r="R145" s="22">
        <f t="shared" si="6"/>
        <v>305</v>
      </c>
    </row>
    <row r="146" spans="2:18" ht="30" customHeight="1" x14ac:dyDescent="0.25">
      <c r="B146" s="5" t="e" vm="156">
        <v>#VALUE!</v>
      </c>
      <c r="C146" s="5">
        <f t="shared" si="5"/>
        <v>143</v>
      </c>
      <c r="D146" s="1" t="s">
        <v>222</v>
      </c>
      <c r="E146" s="40" t="s">
        <v>68</v>
      </c>
      <c r="F146" s="51" t="s">
        <v>30</v>
      </c>
      <c r="G146" s="1" t="e" vm="10">
        <v>#VALUE!</v>
      </c>
      <c r="H146" s="1" t="s">
        <v>31</v>
      </c>
      <c r="I146" s="1"/>
      <c r="J146" s="1"/>
      <c r="K146" s="1" t="s">
        <v>22</v>
      </c>
      <c r="L146" s="7">
        <v>50</v>
      </c>
      <c r="M146" s="9">
        <v>63</v>
      </c>
      <c r="N146" s="11">
        <v>152</v>
      </c>
      <c r="O146" s="13">
        <v>53</v>
      </c>
      <c r="P146" s="15">
        <v>142</v>
      </c>
      <c r="Q146" s="17">
        <v>35</v>
      </c>
      <c r="R146" s="22">
        <f t="shared" si="6"/>
        <v>495</v>
      </c>
    </row>
    <row r="147" spans="2:18" ht="30" customHeight="1" x14ac:dyDescent="0.25">
      <c r="B147" s="5" t="e" vm="157">
        <v>#VALUE!</v>
      </c>
      <c r="C147" s="5">
        <f t="shared" si="5"/>
        <v>144</v>
      </c>
      <c r="D147" s="1" t="s">
        <v>223</v>
      </c>
      <c r="E147" s="40" t="s">
        <v>68</v>
      </c>
      <c r="F147" s="57" t="s">
        <v>24</v>
      </c>
      <c r="G147" s="1" t="e" vm="138">
        <v>#VALUE!</v>
      </c>
      <c r="H147" s="1" t="s">
        <v>202</v>
      </c>
      <c r="I147" s="1" t="e" vm="49">
        <v>#VALUE!</v>
      </c>
      <c r="J147" s="1" t="s">
        <v>69</v>
      </c>
      <c r="K147" s="61" t="s">
        <v>224</v>
      </c>
      <c r="L147" s="7">
        <v>48</v>
      </c>
      <c r="M147" s="9">
        <v>44</v>
      </c>
      <c r="N147" s="11">
        <v>40</v>
      </c>
      <c r="O147" s="13">
        <v>71</v>
      </c>
      <c r="P147" s="15">
        <v>40</v>
      </c>
      <c r="Q147" s="17">
        <v>77</v>
      </c>
      <c r="R147" s="22">
        <f t="shared" si="6"/>
        <v>320</v>
      </c>
    </row>
    <row r="148" spans="2:18" ht="30" customHeight="1" x14ac:dyDescent="0.25">
      <c r="B148" s="5" t="e" vm="158">
        <v>#VALUE!</v>
      </c>
      <c r="C148" s="5">
        <f t="shared" si="5"/>
        <v>145</v>
      </c>
      <c r="D148" s="1" t="s">
        <v>225</v>
      </c>
      <c r="E148" s="40" t="s">
        <v>68</v>
      </c>
      <c r="F148" s="57" t="s">
        <v>24</v>
      </c>
      <c r="G148" s="1" t="e" vm="138">
        <v>#VALUE!</v>
      </c>
      <c r="H148" s="1" t="s">
        <v>202</v>
      </c>
      <c r="I148" s="1" t="e" vm="49">
        <v>#VALUE!</v>
      </c>
      <c r="J148" s="1" t="s">
        <v>69</v>
      </c>
      <c r="K148" s="1" t="s">
        <v>22</v>
      </c>
      <c r="L148" s="7">
        <v>68</v>
      </c>
      <c r="M148" s="9">
        <v>64</v>
      </c>
      <c r="N148" s="11">
        <v>60</v>
      </c>
      <c r="O148" s="13">
        <v>111</v>
      </c>
      <c r="P148" s="15">
        <v>60</v>
      </c>
      <c r="Q148" s="17">
        <v>117</v>
      </c>
      <c r="R148" s="22">
        <f t="shared" si="6"/>
        <v>480</v>
      </c>
    </row>
    <row r="149" spans="2:18" ht="30" customHeight="1" x14ac:dyDescent="0.25">
      <c r="B149" s="5" t="e" vm="159">
        <v>#VALUE!</v>
      </c>
      <c r="C149" s="5">
        <f t="shared" si="5"/>
        <v>146</v>
      </c>
      <c r="D149" s="1" t="s">
        <v>226</v>
      </c>
      <c r="E149" s="38" t="s">
        <v>50</v>
      </c>
      <c r="F149" s="47" t="s">
        <v>65</v>
      </c>
      <c r="G149" s="1" t="e" vm="34">
        <v>#VALUE!</v>
      </c>
      <c r="H149" s="1" t="s">
        <v>71</v>
      </c>
      <c r="I149" s="1"/>
      <c r="J149" s="1"/>
      <c r="K149" s="1" t="s">
        <v>130</v>
      </c>
      <c r="L149" s="7">
        <v>59</v>
      </c>
      <c r="M149" s="9">
        <v>74</v>
      </c>
      <c r="N149" s="11">
        <v>50</v>
      </c>
      <c r="O149" s="13">
        <v>35</v>
      </c>
      <c r="P149" s="15">
        <v>50</v>
      </c>
      <c r="Q149" s="17">
        <v>35</v>
      </c>
      <c r="R149" s="22">
        <f t="shared" si="6"/>
        <v>303</v>
      </c>
    </row>
    <row r="150" spans="2:18" ht="30" customHeight="1" x14ac:dyDescent="0.25">
      <c r="B150" s="5" t="e" vm="160">
        <v>#VALUE!</v>
      </c>
      <c r="C150" s="5">
        <f t="shared" si="5"/>
        <v>147</v>
      </c>
      <c r="D150" s="1" t="s">
        <v>227</v>
      </c>
      <c r="E150" s="38" t="s">
        <v>50</v>
      </c>
      <c r="F150" s="47" t="s">
        <v>65</v>
      </c>
      <c r="G150" s="1" t="e" vm="34">
        <v>#VALUE!</v>
      </c>
      <c r="H150" s="1" t="s">
        <v>71</v>
      </c>
      <c r="I150" s="1"/>
      <c r="J150" s="1"/>
      <c r="K150" s="1" t="s">
        <v>22</v>
      </c>
      <c r="L150" s="7">
        <v>89</v>
      </c>
      <c r="M150" s="9">
        <v>124</v>
      </c>
      <c r="N150" s="11">
        <v>80</v>
      </c>
      <c r="O150" s="13">
        <v>55</v>
      </c>
      <c r="P150" s="15">
        <v>80</v>
      </c>
      <c r="Q150" s="17">
        <v>55</v>
      </c>
      <c r="R150" s="22">
        <f t="shared" si="6"/>
        <v>483</v>
      </c>
    </row>
    <row r="151" spans="2:18" ht="30" customHeight="1" x14ac:dyDescent="0.25">
      <c r="B151" s="5" t="e" vm="161">
        <v>#VALUE!</v>
      </c>
      <c r="C151" s="5">
        <f t="shared" si="5"/>
        <v>148</v>
      </c>
      <c r="D151" s="1" t="s">
        <v>228</v>
      </c>
      <c r="E151" s="55" t="s">
        <v>48</v>
      </c>
      <c r="F151" s="33" t="s">
        <v>34</v>
      </c>
      <c r="G151" s="1" t="e" vm="26">
        <v>#VALUE!</v>
      </c>
      <c r="H151" s="1" t="s">
        <v>54</v>
      </c>
      <c r="I151" s="1"/>
      <c r="J151" s="1"/>
      <c r="K151" s="1" t="s">
        <v>229</v>
      </c>
      <c r="L151" s="7">
        <v>45</v>
      </c>
      <c r="M151" s="9">
        <v>85</v>
      </c>
      <c r="N151" s="11">
        <v>70</v>
      </c>
      <c r="O151" s="13">
        <v>40</v>
      </c>
      <c r="P151" s="15">
        <v>40</v>
      </c>
      <c r="Q151" s="17">
        <v>60</v>
      </c>
      <c r="R151" s="22">
        <f t="shared" si="6"/>
        <v>340</v>
      </c>
    </row>
    <row r="152" spans="2:18" ht="30" customHeight="1" x14ac:dyDescent="0.25">
      <c r="B152" s="5" t="e" vm="162">
        <v>#VALUE!</v>
      </c>
      <c r="C152" s="5">
        <f t="shared" si="5"/>
        <v>149</v>
      </c>
      <c r="D152" s="1" t="s">
        <v>230</v>
      </c>
      <c r="E152" s="55" t="s">
        <v>48</v>
      </c>
      <c r="F152" s="33" t="s">
        <v>34</v>
      </c>
      <c r="G152" s="1" t="e" vm="26">
        <v>#VALUE!</v>
      </c>
      <c r="H152" s="1" t="s">
        <v>54</v>
      </c>
      <c r="I152" s="1"/>
      <c r="J152" s="1"/>
      <c r="K152" s="1" t="s">
        <v>231</v>
      </c>
      <c r="L152" s="7">
        <v>65</v>
      </c>
      <c r="M152" s="9">
        <v>125</v>
      </c>
      <c r="N152" s="11">
        <v>100</v>
      </c>
      <c r="O152" s="13">
        <v>60</v>
      </c>
      <c r="P152" s="15">
        <v>70</v>
      </c>
      <c r="Q152" s="17">
        <v>70</v>
      </c>
      <c r="R152" s="22">
        <f t="shared" si="6"/>
        <v>490</v>
      </c>
    </row>
    <row r="153" spans="2:18" ht="30" customHeight="1" x14ac:dyDescent="0.25">
      <c r="B153" s="5" t="e" vm="163">
        <v>#VALUE!</v>
      </c>
      <c r="C153" s="5">
        <f t="shared" si="5"/>
        <v>150</v>
      </c>
      <c r="D153" s="1" t="s">
        <v>232</v>
      </c>
      <c r="E153" s="55" t="s">
        <v>48</v>
      </c>
      <c r="F153" s="33" t="s">
        <v>34</v>
      </c>
      <c r="G153" s="1" t="e" vm="26">
        <v>#VALUE!</v>
      </c>
      <c r="H153" s="1" t="s">
        <v>54</v>
      </c>
      <c r="I153" s="1"/>
      <c r="J153" s="1"/>
      <c r="K153" s="1" t="s">
        <v>22</v>
      </c>
      <c r="L153" s="7">
        <v>100</v>
      </c>
      <c r="M153" s="9">
        <v>135</v>
      </c>
      <c r="N153" s="11">
        <v>120</v>
      </c>
      <c r="O153" s="13">
        <v>60</v>
      </c>
      <c r="P153" s="15">
        <v>85</v>
      </c>
      <c r="Q153" s="17">
        <v>50</v>
      </c>
      <c r="R153" s="22">
        <f t="shared" si="6"/>
        <v>550</v>
      </c>
    </row>
    <row r="154" spans="2:18" ht="30" customHeight="1" x14ac:dyDescent="0.25">
      <c r="B154" s="5" t="e" vm="164">
        <v>#VALUE!</v>
      </c>
      <c r="C154" s="5">
        <f t="shared" si="5"/>
        <v>151</v>
      </c>
      <c r="D154" s="1" t="s">
        <v>233</v>
      </c>
      <c r="E154" s="50" t="s">
        <v>65</v>
      </c>
      <c r="F154" s="28"/>
      <c r="G154" s="1" t="e" vm="34">
        <v>#VALUE!</v>
      </c>
      <c r="H154" s="1" t="s">
        <v>71</v>
      </c>
      <c r="I154" s="1" t="e" vm="74">
        <v>#VALUE!</v>
      </c>
      <c r="J154" s="1" t="s">
        <v>114</v>
      </c>
      <c r="K154" s="1" t="s">
        <v>104</v>
      </c>
      <c r="L154" s="7">
        <v>38</v>
      </c>
      <c r="M154" s="9">
        <v>30</v>
      </c>
      <c r="N154" s="11">
        <v>85</v>
      </c>
      <c r="O154" s="13">
        <v>55</v>
      </c>
      <c r="P154" s="15">
        <v>65</v>
      </c>
      <c r="Q154" s="17">
        <v>30</v>
      </c>
      <c r="R154" s="22">
        <f t="shared" si="6"/>
        <v>303</v>
      </c>
    </row>
    <row r="155" spans="2:18" ht="30" customHeight="1" x14ac:dyDescent="0.25">
      <c r="B155" s="5" t="e" vm="165">
        <v>#VALUE!</v>
      </c>
      <c r="C155" s="5">
        <f t="shared" si="5"/>
        <v>152</v>
      </c>
      <c r="D155" s="1" t="s">
        <v>234</v>
      </c>
      <c r="E155" s="50" t="s">
        <v>65</v>
      </c>
      <c r="F155" s="28"/>
      <c r="G155" s="1" t="e" vm="34">
        <v>#VALUE!</v>
      </c>
      <c r="H155" s="1" t="s">
        <v>71</v>
      </c>
      <c r="I155" s="1" t="e" vm="74">
        <v>#VALUE!</v>
      </c>
      <c r="J155" s="1" t="s">
        <v>114</v>
      </c>
      <c r="K155" s="1" t="s">
        <v>22</v>
      </c>
      <c r="L155" s="7">
        <v>58</v>
      </c>
      <c r="M155" s="9">
        <v>50</v>
      </c>
      <c r="N155" s="11">
        <v>145</v>
      </c>
      <c r="O155" s="13">
        <v>95</v>
      </c>
      <c r="P155" s="15">
        <v>105</v>
      </c>
      <c r="Q155" s="17">
        <v>30</v>
      </c>
      <c r="R155" s="22">
        <f t="shared" si="6"/>
        <v>483</v>
      </c>
    </row>
    <row r="156" spans="2:18" ht="30" customHeight="1" x14ac:dyDescent="0.25">
      <c r="B156" s="5" t="e" vm="166">
        <v>#VALUE!</v>
      </c>
      <c r="C156" s="5">
        <f t="shared" si="5"/>
        <v>153</v>
      </c>
      <c r="D156" s="1" t="s">
        <v>235</v>
      </c>
      <c r="E156" s="50" t="s">
        <v>65</v>
      </c>
      <c r="F156" s="62" t="s">
        <v>16</v>
      </c>
      <c r="G156" s="1" t="e" vm="34">
        <v>#VALUE!</v>
      </c>
      <c r="H156" s="1" t="s">
        <v>71</v>
      </c>
      <c r="I156" s="1"/>
      <c r="J156" s="1"/>
      <c r="K156" s="1" t="s">
        <v>22</v>
      </c>
      <c r="L156" s="7">
        <v>70</v>
      </c>
      <c r="M156" s="9">
        <v>131</v>
      </c>
      <c r="N156" s="11">
        <v>100</v>
      </c>
      <c r="O156" s="13">
        <v>86</v>
      </c>
      <c r="P156" s="15">
        <v>90</v>
      </c>
      <c r="Q156" s="17">
        <v>40</v>
      </c>
      <c r="R156" s="22">
        <f t="shared" si="6"/>
        <v>517</v>
      </c>
    </row>
    <row r="157" spans="2:18" ht="30" customHeight="1" x14ac:dyDescent="0.25">
      <c r="B157" s="5" t="e" vm="167">
        <v>#VALUE!</v>
      </c>
      <c r="C157" s="5">
        <f t="shared" si="5"/>
        <v>154</v>
      </c>
      <c r="D157" s="1" t="s">
        <v>236</v>
      </c>
      <c r="E157" s="32" t="s">
        <v>30</v>
      </c>
      <c r="F157" s="56" t="s">
        <v>66</v>
      </c>
      <c r="G157" s="1" t="e" vm="10">
        <v>#VALUE!</v>
      </c>
      <c r="H157" s="1" t="s">
        <v>31</v>
      </c>
      <c r="I157" s="1" t="e" vm="3">
        <v>#VALUE!</v>
      </c>
      <c r="J157" s="1" t="s">
        <v>17</v>
      </c>
      <c r="K157" s="1" t="s">
        <v>39</v>
      </c>
      <c r="L157" s="7">
        <v>70</v>
      </c>
      <c r="M157" s="9">
        <v>40</v>
      </c>
      <c r="N157" s="11">
        <v>50</v>
      </c>
      <c r="O157" s="13">
        <v>55</v>
      </c>
      <c r="P157" s="15">
        <v>50</v>
      </c>
      <c r="Q157" s="17">
        <v>25</v>
      </c>
      <c r="R157" s="22">
        <f t="shared" si="6"/>
        <v>290</v>
      </c>
    </row>
    <row r="158" spans="2:18" ht="30" customHeight="1" x14ac:dyDescent="0.25">
      <c r="B158" s="5" t="e" vm="168">
        <v>#VALUE!</v>
      </c>
      <c r="C158" s="5">
        <f t="shared" si="5"/>
        <v>155</v>
      </c>
      <c r="D158" s="1" t="s">
        <v>237</v>
      </c>
      <c r="E158" s="32" t="s">
        <v>30</v>
      </c>
      <c r="F158" s="56" t="s">
        <v>66</v>
      </c>
      <c r="G158" s="1" t="e" vm="10">
        <v>#VALUE!</v>
      </c>
      <c r="H158" s="1" t="s">
        <v>31</v>
      </c>
      <c r="I158" s="1" t="e" vm="3">
        <v>#VALUE!</v>
      </c>
      <c r="J158" s="1" t="s">
        <v>17</v>
      </c>
      <c r="K158" s="1" t="s">
        <v>238</v>
      </c>
      <c r="L158" s="7">
        <v>90</v>
      </c>
      <c r="M158" s="9">
        <v>60</v>
      </c>
      <c r="N158" s="11">
        <v>70</v>
      </c>
      <c r="O158" s="13">
        <v>75</v>
      </c>
      <c r="P158" s="15">
        <v>70</v>
      </c>
      <c r="Q158" s="17">
        <v>45</v>
      </c>
      <c r="R158" s="22">
        <f t="shared" si="6"/>
        <v>410</v>
      </c>
    </row>
    <row r="159" spans="2:18" ht="30" customHeight="1" x14ac:dyDescent="0.25">
      <c r="B159" s="5" t="e" vm="169">
        <v>#VALUE!</v>
      </c>
      <c r="C159" s="5">
        <f t="shared" si="5"/>
        <v>156</v>
      </c>
      <c r="D159" s="1" t="s">
        <v>239</v>
      </c>
      <c r="E159" s="32" t="s">
        <v>30</v>
      </c>
      <c r="F159" s="56" t="s">
        <v>66</v>
      </c>
      <c r="G159" s="1" t="e" vm="10">
        <v>#VALUE!</v>
      </c>
      <c r="H159" s="1" t="s">
        <v>31</v>
      </c>
      <c r="I159" s="1" t="e" vm="3">
        <v>#VALUE!</v>
      </c>
      <c r="J159" s="1" t="s">
        <v>17</v>
      </c>
      <c r="K159" s="1" t="s">
        <v>22</v>
      </c>
      <c r="L159" s="7">
        <v>110</v>
      </c>
      <c r="M159" s="9">
        <v>80</v>
      </c>
      <c r="N159" s="11">
        <v>90</v>
      </c>
      <c r="O159" s="13">
        <v>95</v>
      </c>
      <c r="P159" s="15">
        <v>90</v>
      </c>
      <c r="Q159" s="17">
        <v>65</v>
      </c>
      <c r="R159" s="22">
        <f t="shared" si="6"/>
        <v>530</v>
      </c>
    </row>
    <row r="160" spans="2:18" ht="30" customHeight="1" x14ac:dyDescent="0.25">
      <c r="B160" s="5" t="e" vm="170">
        <v>#VALUE!</v>
      </c>
      <c r="C160" s="5">
        <f t="shared" si="5"/>
        <v>157</v>
      </c>
      <c r="D160" s="1" t="s">
        <v>242</v>
      </c>
      <c r="E160" s="39" t="s">
        <v>27</v>
      </c>
      <c r="F160" s="28"/>
      <c r="G160" s="1" t="e" vm="102">
        <v>#VALUE!</v>
      </c>
      <c r="H160" s="1" t="s">
        <v>157</v>
      </c>
      <c r="I160" s="1"/>
      <c r="J160" s="1"/>
      <c r="K160" s="1" t="s">
        <v>243</v>
      </c>
      <c r="L160" s="7">
        <v>47</v>
      </c>
      <c r="M160" s="9">
        <v>82</v>
      </c>
      <c r="N160" s="11">
        <v>57</v>
      </c>
      <c r="O160" s="13">
        <v>42</v>
      </c>
      <c r="P160" s="15">
        <v>47</v>
      </c>
      <c r="Q160" s="17">
        <v>63</v>
      </c>
      <c r="R160" s="22">
        <f t="shared" si="6"/>
        <v>338</v>
      </c>
    </row>
    <row r="161" spans="2:18" ht="30" customHeight="1" x14ac:dyDescent="0.25">
      <c r="B161" s="5" t="e" vm="171">
        <v>#VALUE!</v>
      </c>
      <c r="C161" s="5">
        <f t="shared" si="5"/>
        <v>158</v>
      </c>
      <c r="D161" s="1" t="s">
        <v>244</v>
      </c>
      <c r="E161" s="39" t="s">
        <v>27</v>
      </c>
      <c r="F161" s="56" t="s">
        <v>66</v>
      </c>
      <c r="G161" s="1" t="e" vm="102">
        <v>#VALUE!</v>
      </c>
      <c r="H161" s="1" t="s">
        <v>157</v>
      </c>
      <c r="I161" s="1"/>
      <c r="J161" s="1"/>
      <c r="K161" s="1" t="s">
        <v>22</v>
      </c>
      <c r="L161" s="7">
        <v>97</v>
      </c>
      <c r="M161" s="9">
        <v>132</v>
      </c>
      <c r="N161" s="11">
        <v>77</v>
      </c>
      <c r="O161" s="13">
        <v>62</v>
      </c>
      <c r="P161" s="15">
        <v>67</v>
      </c>
      <c r="Q161" s="17">
        <v>43</v>
      </c>
      <c r="R161" s="22">
        <f t="shared" si="6"/>
        <v>478</v>
      </c>
    </row>
    <row r="162" spans="2:18" ht="30" customHeight="1" x14ac:dyDescent="0.25">
      <c r="B162" s="5" t="e" vm="172">
        <v>#VALUE!</v>
      </c>
      <c r="C162" s="5">
        <f t="shared" si="5"/>
        <v>159</v>
      </c>
      <c r="D162" s="1" t="s">
        <v>240</v>
      </c>
      <c r="E162" s="44" t="s">
        <v>67</v>
      </c>
      <c r="F162" s="41" t="s">
        <v>37</v>
      </c>
      <c r="G162" s="1" t="e" vm="138">
        <v>#VALUE!</v>
      </c>
      <c r="H162" s="1" t="s">
        <v>202</v>
      </c>
      <c r="I162" s="1" t="e" vm="49">
        <v>#VALUE!</v>
      </c>
      <c r="J162" s="1" t="s">
        <v>69</v>
      </c>
      <c r="K162" s="1" t="s">
        <v>58</v>
      </c>
      <c r="L162" s="7">
        <v>44</v>
      </c>
      <c r="M162" s="9">
        <v>38</v>
      </c>
      <c r="N162" s="11">
        <v>33</v>
      </c>
      <c r="O162" s="13">
        <v>61</v>
      </c>
      <c r="P162" s="15">
        <v>43</v>
      </c>
      <c r="Q162" s="17">
        <v>70</v>
      </c>
      <c r="R162" s="22">
        <f t="shared" si="6"/>
        <v>289</v>
      </c>
    </row>
    <row r="163" spans="2:18" ht="30" customHeight="1" x14ac:dyDescent="0.25">
      <c r="B163" s="5" t="e" vm="173">
        <v>#VALUE!</v>
      </c>
      <c r="C163" s="5">
        <f t="shared" si="5"/>
        <v>160</v>
      </c>
      <c r="D163" s="1" t="s">
        <v>241</v>
      </c>
      <c r="E163" s="44" t="s">
        <v>67</v>
      </c>
      <c r="F163" s="41" t="s">
        <v>37</v>
      </c>
      <c r="G163" s="1" t="e" vm="138">
        <v>#VALUE!</v>
      </c>
      <c r="H163" s="1" t="s">
        <v>202</v>
      </c>
      <c r="I163" s="1" t="e" vm="49">
        <v>#VALUE!</v>
      </c>
      <c r="J163" s="1" t="s">
        <v>69</v>
      </c>
      <c r="K163" s="1" t="s">
        <v>22</v>
      </c>
      <c r="L163" s="7">
        <v>62</v>
      </c>
      <c r="M163" s="9">
        <v>55</v>
      </c>
      <c r="N163" s="11">
        <v>52</v>
      </c>
      <c r="O163" s="13">
        <v>109</v>
      </c>
      <c r="P163" s="15">
        <v>94</v>
      </c>
      <c r="Q163" s="17">
        <v>109</v>
      </c>
      <c r="R163" s="22">
        <f t="shared" si="6"/>
        <v>481</v>
      </c>
    </row>
    <row r="164" spans="2:18" ht="30" customHeight="1" x14ac:dyDescent="0.25">
      <c r="B164" s="5" t="e" vm="174">
        <v>#VALUE!</v>
      </c>
      <c r="C164" s="5">
        <f t="shared" si="5"/>
        <v>161</v>
      </c>
      <c r="D164" s="1" t="s">
        <v>245</v>
      </c>
      <c r="E164" s="32" t="s">
        <v>30</v>
      </c>
      <c r="F164" s="28"/>
      <c r="G164" s="1" t="e" vm="3">
        <v>#VALUE!</v>
      </c>
      <c r="H164" s="1" t="s">
        <v>17</v>
      </c>
      <c r="I164" s="1" t="e" vm="64">
        <v>#VALUE!</v>
      </c>
      <c r="J164" s="1" t="s">
        <v>118</v>
      </c>
      <c r="K164" s="1" t="s">
        <v>43</v>
      </c>
      <c r="L164" s="7">
        <v>70</v>
      </c>
      <c r="M164" s="9">
        <v>45</v>
      </c>
      <c r="N164" s="11">
        <v>40</v>
      </c>
      <c r="O164" s="13">
        <v>45</v>
      </c>
      <c r="P164" s="15">
        <v>40</v>
      </c>
      <c r="Q164" s="17">
        <v>75</v>
      </c>
      <c r="R164" s="22">
        <f t="shared" si="6"/>
        <v>315</v>
      </c>
    </row>
    <row r="165" spans="2:18" ht="30" customHeight="1" x14ac:dyDescent="0.25">
      <c r="B165" s="5" t="e" vm="175">
        <v>#VALUE!</v>
      </c>
      <c r="C165" s="5">
        <f t="shared" si="5"/>
        <v>162</v>
      </c>
      <c r="D165" s="1" t="s">
        <v>246</v>
      </c>
      <c r="E165" s="32" t="s">
        <v>30</v>
      </c>
      <c r="F165" s="60"/>
      <c r="G165" s="1" t="e" vm="3">
        <v>#VALUE!</v>
      </c>
      <c r="H165" s="1" t="s">
        <v>17</v>
      </c>
      <c r="I165" s="1" t="e" vm="64">
        <v>#VALUE!</v>
      </c>
      <c r="J165" s="1" t="s">
        <v>118</v>
      </c>
      <c r="K165" s="1" t="s">
        <v>22</v>
      </c>
      <c r="L165" s="7">
        <v>100</v>
      </c>
      <c r="M165" s="9">
        <v>70</v>
      </c>
      <c r="N165" s="11">
        <v>72</v>
      </c>
      <c r="O165" s="13">
        <v>53</v>
      </c>
      <c r="P165" s="15">
        <v>62</v>
      </c>
      <c r="Q165" s="17">
        <v>100</v>
      </c>
      <c r="R165" s="22">
        <f t="shared" si="6"/>
        <v>457</v>
      </c>
    </row>
    <row r="166" spans="2:18" ht="30" customHeight="1" x14ac:dyDescent="0.25">
      <c r="B166" s="5" t="e" vm="176">
        <v>#VALUE!</v>
      </c>
      <c r="C166" s="5">
        <f t="shared" si="5"/>
        <v>163</v>
      </c>
      <c r="D166" s="1" t="s">
        <v>247</v>
      </c>
      <c r="E166" s="32" t="s">
        <v>30</v>
      </c>
      <c r="F166" s="47" t="s">
        <v>65</v>
      </c>
      <c r="G166" s="1" t="e" vm="74">
        <v>#VALUE!</v>
      </c>
      <c r="H166" s="1" t="s">
        <v>114</v>
      </c>
      <c r="I166" s="1"/>
      <c r="J166" s="1"/>
      <c r="K166" s="1" t="s">
        <v>181</v>
      </c>
      <c r="L166" s="7">
        <v>55</v>
      </c>
      <c r="M166" s="9">
        <v>40</v>
      </c>
      <c r="N166" s="11">
        <v>50</v>
      </c>
      <c r="O166" s="13">
        <v>65</v>
      </c>
      <c r="P166" s="15">
        <v>85</v>
      </c>
      <c r="Q166" s="17">
        <v>40</v>
      </c>
      <c r="R166" s="22">
        <f t="shared" si="6"/>
        <v>335</v>
      </c>
    </row>
    <row r="167" spans="2:18" ht="30" customHeight="1" x14ac:dyDescent="0.25">
      <c r="B167" s="5" t="e" vm="177">
        <v>#VALUE!</v>
      </c>
      <c r="C167" s="5">
        <f t="shared" si="5"/>
        <v>164</v>
      </c>
      <c r="D167" s="1" t="s">
        <v>248</v>
      </c>
      <c r="E167" s="32" t="s">
        <v>30</v>
      </c>
      <c r="F167" s="47" t="s">
        <v>65</v>
      </c>
      <c r="G167" s="1" t="e" vm="74">
        <v>#VALUE!</v>
      </c>
      <c r="H167" s="1" t="s">
        <v>114</v>
      </c>
      <c r="I167" s="1"/>
      <c r="J167" s="1"/>
      <c r="K167" s="1" t="s">
        <v>22</v>
      </c>
      <c r="L167" s="7">
        <v>100</v>
      </c>
      <c r="M167" s="9">
        <v>60</v>
      </c>
      <c r="N167" s="11">
        <v>70</v>
      </c>
      <c r="O167" s="13">
        <v>85</v>
      </c>
      <c r="P167" s="15">
        <v>105</v>
      </c>
      <c r="Q167" s="17">
        <v>60</v>
      </c>
      <c r="R167" s="22">
        <f t="shared" si="6"/>
        <v>480</v>
      </c>
    </row>
    <row r="168" spans="2:18" ht="30" customHeight="1" x14ac:dyDescent="0.25">
      <c r="B168" s="5" t="e" vm="178">
        <v>#VALUE!</v>
      </c>
      <c r="C168" s="5">
        <f t="shared" si="5"/>
        <v>165</v>
      </c>
      <c r="D168" s="1" t="s">
        <v>249</v>
      </c>
      <c r="E168" s="32" t="s">
        <v>30</v>
      </c>
      <c r="F168" s="28"/>
      <c r="G168" s="1" t="e" vm="102">
        <v>#VALUE!</v>
      </c>
      <c r="H168" s="1" t="s">
        <v>157</v>
      </c>
      <c r="I168" s="1"/>
      <c r="J168" s="1"/>
      <c r="K168" s="1" t="s">
        <v>170</v>
      </c>
      <c r="L168" s="7">
        <v>30</v>
      </c>
      <c r="M168" s="9">
        <v>45</v>
      </c>
      <c r="N168" s="11">
        <v>55</v>
      </c>
      <c r="O168" s="13">
        <v>70</v>
      </c>
      <c r="P168" s="15">
        <v>55</v>
      </c>
      <c r="Q168" s="17">
        <v>85</v>
      </c>
      <c r="R168" s="22">
        <f t="shared" si="6"/>
        <v>340</v>
      </c>
    </row>
    <row r="169" spans="2:18" ht="30" customHeight="1" x14ac:dyDescent="0.25">
      <c r="B169" s="5" t="e" vm="179">
        <v>#VALUE!</v>
      </c>
      <c r="C169" s="5">
        <f t="shared" si="5"/>
        <v>166</v>
      </c>
      <c r="D169" s="1" t="s">
        <v>250</v>
      </c>
      <c r="E169" s="32" t="s">
        <v>30</v>
      </c>
      <c r="F169" s="49" t="s">
        <v>63</v>
      </c>
      <c r="G169" s="1" t="e" vm="102">
        <v>#VALUE!</v>
      </c>
      <c r="H169" s="1" t="s">
        <v>157</v>
      </c>
      <c r="I169" s="1"/>
      <c r="J169" s="1"/>
      <c r="K169" s="1" t="s">
        <v>22</v>
      </c>
      <c r="L169" s="7">
        <v>60</v>
      </c>
      <c r="M169" s="9">
        <v>75</v>
      </c>
      <c r="N169" s="11">
        <v>85</v>
      </c>
      <c r="O169" s="13">
        <v>100</v>
      </c>
      <c r="P169" s="15">
        <v>85</v>
      </c>
      <c r="Q169" s="17">
        <v>115</v>
      </c>
      <c r="R169" s="22">
        <f t="shared" si="6"/>
        <v>520</v>
      </c>
    </row>
    <row r="170" spans="2:18" ht="30" customHeight="1" x14ac:dyDescent="0.25">
      <c r="B170" t="e" vm="180">
        <v>#VALUE!</v>
      </c>
      <c r="C170" s="5">
        <f t="shared" si="5"/>
        <v>167</v>
      </c>
      <c r="D170" s="1" t="s">
        <v>253</v>
      </c>
      <c r="E170" s="23" t="s">
        <v>64</v>
      </c>
      <c r="F170" s="65" t="s">
        <v>50</v>
      </c>
      <c r="G170" s="1" t="e" vm="138">
        <v>#VALUE!</v>
      </c>
      <c r="H170" s="1" t="s">
        <v>202</v>
      </c>
      <c r="K170" s="1" t="s">
        <v>83</v>
      </c>
      <c r="L170" s="7">
        <v>50</v>
      </c>
      <c r="M170" s="9">
        <v>64</v>
      </c>
      <c r="N170" s="11">
        <v>50</v>
      </c>
      <c r="O170" s="13">
        <v>45</v>
      </c>
      <c r="P170" s="15">
        <v>50</v>
      </c>
      <c r="Q170" s="17">
        <v>41</v>
      </c>
      <c r="R170" s="22">
        <f t="shared" si="6"/>
        <v>300</v>
      </c>
    </row>
    <row r="171" spans="2:18" ht="30" customHeight="1" x14ac:dyDescent="0.25">
      <c r="B171" t="e" vm="181">
        <v>#VALUE!</v>
      </c>
      <c r="C171" s="5">
        <f t="shared" si="5"/>
        <v>168</v>
      </c>
      <c r="D171" s="1" t="s">
        <v>254</v>
      </c>
      <c r="E171" s="23" t="s">
        <v>64</v>
      </c>
      <c r="F171" s="65" t="s">
        <v>50</v>
      </c>
      <c r="G171" s="1" t="e" vm="138">
        <v>#VALUE!</v>
      </c>
      <c r="H171" s="1" t="s">
        <v>202</v>
      </c>
      <c r="K171" s="1" t="s">
        <v>252</v>
      </c>
      <c r="L171" s="7">
        <v>70</v>
      </c>
      <c r="M171" s="9">
        <v>84</v>
      </c>
      <c r="N171" s="11">
        <v>70</v>
      </c>
      <c r="O171" s="13">
        <v>65</v>
      </c>
      <c r="P171" s="15">
        <v>70</v>
      </c>
      <c r="Q171" s="17">
        <v>51</v>
      </c>
      <c r="R171" s="22">
        <f t="shared" si="6"/>
        <v>410</v>
      </c>
    </row>
    <row r="172" spans="2:18" ht="30" customHeight="1" x14ac:dyDescent="0.25">
      <c r="B172" t="e" vm="182">
        <v>#VALUE!</v>
      </c>
      <c r="C172" s="5">
        <f t="shared" si="5"/>
        <v>169</v>
      </c>
      <c r="D172" s="1" t="s">
        <v>255</v>
      </c>
      <c r="E172" s="23" t="s">
        <v>64</v>
      </c>
      <c r="F172" s="37" t="s">
        <v>48</v>
      </c>
      <c r="G172" s="1" t="e" vm="138">
        <v>#VALUE!</v>
      </c>
      <c r="H172" s="1" t="s">
        <v>202</v>
      </c>
      <c r="K172" s="1" t="s">
        <v>22</v>
      </c>
      <c r="L172" s="7">
        <v>100</v>
      </c>
      <c r="M172" s="9">
        <v>134</v>
      </c>
      <c r="N172" s="11">
        <v>110</v>
      </c>
      <c r="O172" s="13">
        <v>95</v>
      </c>
      <c r="P172" s="15">
        <v>100</v>
      </c>
      <c r="Q172" s="17">
        <v>61</v>
      </c>
      <c r="R172" s="22">
        <f t="shared" si="6"/>
        <v>600</v>
      </c>
    </row>
    <row r="173" spans="2:18" ht="30" customHeight="1" x14ac:dyDescent="0.25">
      <c r="B173" s="5" t="e" vm="183">
        <v>#VALUE!</v>
      </c>
      <c r="C173" s="5">
        <f t="shared" si="5"/>
        <v>170</v>
      </c>
      <c r="D173" s="1" t="s">
        <v>256</v>
      </c>
      <c r="E173" s="52" t="s">
        <v>34</v>
      </c>
      <c r="F173" s="28"/>
      <c r="G173" s="1" t="e" vm="3">
        <v>#VALUE!</v>
      </c>
      <c r="H173" s="1" t="s">
        <v>17</v>
      </c>
      <c r="I173" s="1" t="e" vm="34">
        <v>#VALUE!</v>
      </c>
      <c r="J173" s="1" t="s">
        <v>71</v>
      </c>
      <c r="K173" s="1" t="s">
        <v>104</v>
      </c>
      <c r="L173" s="7">
        <v>72</v>
      </c>
      <c r="M173" s="9">
        <v>80</v>
      </c>
      <c r="N173" s="11">
        <v>49</v>
      </c>
      <c r="O173" s="13">
        <v>40</v>
      </c>
      <c r="P173" s="15">
        <v>49</v>
      </c>
      <c r="Q173" s="17">
        <v>40</v>
      </c>
      <c r="R173" s="22">
        <f t="shared" si="6"/>
        <v>330</v>
      </c>
    </row>
    <row r="174" spans="2:18" ht="30" customHeight="1" x14ac:dyDescent="0.25">
      <c r="B174" s="5" t="e" vm="184">
        <v>#VALUE!</v>
      </c>
      <c r="C174" s="5">
        <f t="shared" si="5"/>
        <v>171</v>
      </c>
      <c r="D174" s="1" t="s">
        <v>257</v>
      </c>
      <c r="E174" s="52" t="s">
        <v>34</v>
      </c>
      <c r="F174" s="28"/>
      <c r="G174" s="1" t="e" vm="3">
        <v>#VALUE!</v>
      </c>
      <c r="H174" s="1" t="s">
        <v>17</v>
      </c>
      <c r="I174" s="1" t="e" vm="34">
        <v>#VALUE!</v>
      </c>
      <c r="J174" s="1" t="s">
        <v>71</v>
      </c>
      <c r="K174" s="1" t="s">
        <v>22</v>
      </c>
      <c r="L174" s="7">
        <v>122</v>
      </c>
      <c r="M174" s="9">
        <v>130</v>
      </c>
      <c r="N174" s="11">
        <v>69</v>
      </c>
      <c r="O174" s="13">
        <v>80</v>
      </c>
      <c r="P174" s="15">
        <v>69</v>
      </c>
      <c r="Q174" s="17">
        <v>30</v>
      </c>
      <c r="R174" s="22">
        <f t="shared" si="6"/>
        <v>500</v>
      </c>
    </row>
    <row r="175" spans="2:18" ht="30" customHeight="1" x14ac:dyDescent="0.25">
      <c r="B175" t="e" vm="185">
        <v>#VALUE!</v>
      </c>
      <c r="C175" s="5">
        <f t="shared" si="5"/>
        <v>172</v>
      </c>
      <c r="D175" s="1" t="s">
        <v>258</v>
      </c>
      <c r="E175" s="55" t="s">
        <v>48</v>
      </c>
      <c r="F175" s="30"/>
      <c r="G175" s="1" t="e" vm="3">
        <v>#VALUE!</v>
      </c>
      <c r="H175" s="1" t="s">
        <v>17</v>
      </c>
      <c r="K175" s="1" t="s">
        <v>22</v>
      </c>
      <c r="L175" s="7">
        <v>65</v>
      </c>
      <c r="M175" s="9">
        <v>130</v>
      </c>
      <c r="N175" s="11">
        <v>60</v>
      </c>
      <c r="O175" s="13">
        <v>75</v>
      </c>
      <c r="P175" s="15">
        <v>60</v>
      </c>
      <c r="Q175" s="17">
        <v>75</v>
      </c>
      <c r="R175" s="22">
        <f t="shared" si="6"/>
        <v>465</v>
      </c>
    </row>
    <row r="176" spans="2:18" ht="30" customHeight="1" x14ac:dyDescent="0.25">
      <c r="B176" t="e" vm="186">
        <v>#VALUE!</v>
      </c>
      <c r="C176" s="5">
        <f t="shared" si="5"/>
        <v>173</v>
      </c>
      <c r="D176" s="1" t="s">
        <v>259</v>
      </c>
      <c r="E176" s="54" t="s">
        <v>60</v>
      </c>
      <c r="F176" s="30"/>
      <c r="G176" s="1" t="e" vm="2">
        <v>#VALUE!</v>
      </c>
      <c r="H176" s="1" t="s">
        <v>16</v>
      </c>
      <c r="K176" s="1" t="s">
        <v>22</v>
      </c>
      <c r="L176" s="7">
        <v>51</v>
      </c>
      <c r="M176" s="9">
        <v>52</v>
      </c>
      <c r="N176" s="11">
        <v>90</v>
      </c>
      <c r="O176" s="13">
        <v>82</v>
      </c>
      <c r="P176" s="15">
        <v>110</v>
      </c>
      <c r="Q176" s="17">
        <v>100</v>
      </c>
      <c r="R176" s="22">
        <f t="shared" si="6"/>
        <v>485</v>
      </c>
    </row>
    <row r="177" spans="2:18" ht="30" customHeight="1" x14ac:dyDescent="0.25">
      <c r="B177" s="5" t="e" vm="187">
        <v>#VALUE!</v>
      </c>
      <c r="C177" s="5">
        <f t="shared" si="5"/>
        <v>174</v>
      </c>
      <c r="D177" s="1" t="s">
        <v>262</v>
      </c>
      <c r="E177" s="63" t="s">
        <v>69</v>
      </c>
      <c r="F177" s="28"/>
      <c r="G177" s="1" t="e" vm="49">
        <v>#VALUE!</v>
      </c>
      <c r="H177" s="1" t="s">
        <v>69</v>
      </c>
      <c r="I177" s="1"/>
      <c r="J177" s="1"/>
      <c r="K177" s="1" t="s">
        <v>126</v>
      </c>
      <c r="L177" s="7">
        <v>45</v>
      </c>
      <c r="M177" s="9">
        <v>55</v>
      </c>
      <c r="N177" s="11">
        <v>65</v>
      </c>
      <c r="O177" s="13">
        <v>45</v>
      </c>
      <c r="P177" s="15">
        <v>45</v>
      </c>
      <c r="Q177" s="17">
        <v>45</v>
      </c>
      <c r="R177" s="22">
        <f t="shared" si="6"/>
        <v>300</v>
      </c>
    </row>
    <row r="178" spans="2:18" ht="30" customHeight="1" x14ac:dyDescent="0.25">
      <c r="B178" s="5" t="e" vm="188">
        <v>#VALUE!</v>
      </c>
      <c r="C178" s="5">
        <f t="shared" si="5"/>
        <v>175</v>
      </c>
      <c r="D178" s="1" t="s">
        <v>263</v>
      </c>
      <c r="E178" s="63" t="s">
        <v>69</v>
      </c>
      <c r="F178" s="31" t="s">
        <v>27</v>
      </c>
      <c r="G178" s="1" t="e" vm="49">
        <v>#VALUE!</v>
      </c>
      <c r="H178" s="1" t="s">
        <v>69</v>
      </c>
      <c r="I178" s="1"/>
      <c r="J178" s="1"/>
      <c r="K178" s="1" t="s">
        <v>264</v>
      </c>
      <c r="L178" s="7">
        <v>55</v>
      </c>
      <c r="M178" s="9">
        <v>75</v>
      </c>
      <c r="N178" s="11">
        <v>90</v>
      </c>
      <c r="O178" s="13">
        <v>65</v>
      </c>
      <c r="P178" s="15">
        <v>70</v>
      </c>
      <c r="Q178" s="17">
        <v>65</v>
      </c>
      <c r="R178" s="22">
        <f t="shared" si="6"/>
        <v>420</v>
      </c>
    </row>
    <row r="179" spans="2:18" ht="30" customHeight="1" x14ac:dyDescent="0.25">
      <c r="B179" s="5" t="e" vm="189">
        <v>#VALUE!</v>
      </c>
      <c r="C179" s="5">
        <f t="shared" si="5"/>
        <v>176</v>
      </c>
      <c r="D179" s="1" t="s">
        <v>265</v>
      </c>
      <c r="E179" s="63" t="s">
        <v>69</v>
      </c>
      <c r="F179" s="31" t="s">
        <v>27</v>
      </c>
      <c r="G179" s="1" t="e" vm="49">
        <v>#VALUE!</v>
      </c>
      <c r="H179" s="1" t="s">
        <v>69</v>
      </c>
      <c r="I179" s="1"/>
      <c r="J179" s="1"/>
      <c r="K179" s="1" t="s">
        <v>22</v>
      </c>
      <c r="L179" s="7">
        <v>75</v>
      </c>
      <c r="M179" s="9">
        <v>110</v>
      </c>
      <c r="N179" s="11">
        <v>125</v>
      </c>
      <c r="O179" s="13">
        <v>100</v>
      </c>
      <c r="P179" s="15">
        <v>105</v>
      </c>
      <c r="Q179" s="17">
        <v>85</v>
      </c>
      <c r="R179" s="22">
        <f t="shared" si="6"/>
        <v>600</v>
      </c>
    </row>
    <row r="180" spans="2:18" ht="30" customHeight="1" x14ac:dyDescent="0.25">
      <c r="B180" t="e" vm="190">
        <v>#VALUE!</v>
      </c>
      <c r="C180" s="5">
        <f t="shared" si="5"/>
        <v>177</v>
      </c>
      <c r="D180" s="1" t="s">
        <v>266</v>
      </c>
      <c r="E180" s="40" t="s">
        <v>68</v>
      </c>
      <c r="F180" s="30"/>
      <c r="G180" s="1" t="e" vm="34">
        <v>#VALUE!</v>
      </c>
      <c r="H180" s="1" t="s">
        <v>71</v>
      </c>
      <c r="K180" s="1" t="s">
        <v>20</v>
      </c>
      <c r="L180" s="7">
        <v>50</v>
      </c>
      <c r="M180" s="9">
        <v>50</v>
      </c>
      <c r="N180" s="11">
        <v>62</v>
      </c>
      <c r="O180" s="13">
        <v>40</v>
      </c>
      <c r="P180" s="15">
        <v>62</v>
      </c>
      <c r="Q180" s="17">
        <v>65</v>
      </c>
      <c r="R180" s="22">
        <f t="shared" si="6"/>
        <v>329</v>
      </c>
    </row>
    <row r="181" spans="2:18" ht="30" customHeight="1" x14ac:dyDescent="0.25">
      <c r="B181" t="e" vm="191">
        <v>#VALUE!</v>
      </c>
      <c r="C181" s="5">
        <f t="shared" si="5"/>
        <v>178</v>
      </c>
      <c r="D181" s="1" t="s">
        <v>267</v>
      </c>
      <c r="E181" s="40" t="s">
        <v>68</v>
      </c>
      <c r="F181" s="30"/>
      <c r="G181" s="1" t="e" vm="34">
        <v>#VALUE!</v>
      </c>
      <c r="H181" s="1" t="s">
        <v>71</v>
      </c>
      <c r="K181" s="1" t="s">
        <v>22</v>
      </c>
      <c r="L181" s="7">
        <v>80</v>
      </c>
      <c r="M181" s="9">
        <v>95</v>
      </c>
      <c r="N181" s="11">
        <v>82</v>
      </c>
      <c r="O181" s="13">
        <v>60</v>
      </c>
      <c r="P181" s="15">
        <v>82</v>
      </c>
      <c r="Q181" s="17">
        <v>75</v>
      </c>
      <c r="R181" s="22">
        <f t="shared" si="6"/>
        <v>474</v>
      </c>
    </row>
    <row r="182" spans="2:18" ht="30" customHeight="1" x14ac:dyDescent="0.25">
      <c r="B182" t="e" vm="192">
        <v>#VALUE!</v>
      </c>
      <c r="C182" s="5">
        <f t="shared" si="5"/>
        <v>179</v>
      </c>
      <c r="D182" s="1" t="s">
        <v>268</v>
      </c>
      <c r="E182" s="55" t="s">
        <v>48</v>
      </c>
      <c r="F182" s="45" t="s">
        <v>41</v>
      </c>
      <c r="G182" s="1" t="e" vm="17">
        <v>#VALUE!</v>
      </c>
      <c r="H182" s="1" t="s">
        <v>41</v>
      </c>
      <c r="K182" s="1" t="s">
        <v>128</v>
      </c>
      <c r="L182" s="7">
        <v>60</v>
      </c>
      <c r="M182" s="9">
        <v>85</v>
      </c>
      <c r="N182" s="11">
        <v>42</v>
      </c>
      <c r="O182" s="13">
        <v>85</v>
      </c>
      <c r="P182" s="15">
        <v>42</v>
      </c>
      <c r="Q182" s="17">
        <v>91</v>
      </c>
      <c r="R182" s="22">
        <f t="shared" si="6"/>
        <v>405</v>
      </c>
    </row>
    <row r="183" spans="2:18" ht="30" customHeight="1" x14ac:dyDescent="0.25">
      <c r="B183" t="e" vm="193">
        <v>#VALUE!</v>
      </c>
      <c r="C183" s="5">
        <f t="shared" si="5"/>
        <v>180</v>
      </c>
      <c r="D183" s="1" t="s">
        <v>269</v>
      </c>
      <c r="E183" s="55" t="s">
        <v>48</v>
      </c>
      <c r="F183" s="45" t="s">
        <v>41</v>
      </c>
      <c r="G183" s="1" t="e" vm="17">
        <v>#VALUE!</v>
      </c>
      <c r="H183" s="1" t="s">
        <v>41</v>
      </c>
      <c r="K183" s="1" t="s">
        <v>22</v>
      </c>
      <c r="L183" s="7">
        <v>100</v>
      </c>
      <c r="M183" s="9">
        <v>125</v>
      </c>
      <c r="N183" s="11">
        <v>52</v>
      </c>
      <c r="O183" s="13">
        <v>105</v>
      </c>
      <c r="P183" s="15">
        <v>52</v>
      </c>
      <c r="Q183" s="17">
        <v>71</v>
      </c>
      <c r="R183" s="22">
        <f t="shared" si="6"/>
        <v>505</v>
      </c>
    </row>
    <row r="184" spans="2:18" ht="30" customHeight="1" x14ac:dyDescent="0.25">
      <c r="B184" s="5" t="e" vm="194">
        <v>#VALUE!</v>
      </c>
      <c r="C184" s="5">
        <f t="shared" si="5"/>
        <v>181</v>
      </c>
      <c r="D184" s="1" t="s">
        <v>270</v>
      </c>
      <c r="E184" s="34" t="s">
        <v>37</v>
      </c>
      <c r="F184" s="45" t="s">
        <v>41</v>
      </c>
      <c r="G184" s="1" t="e" vm="17">
        <v>#VALUE!</v>
      </c>
      <c r="H184" s="1" t="s">
        <v>41</v>
      </c>
      <c r="K184" s="1" t="s">
        <v>271</v>
      </c>
      <c r="L184" s="7">
        <v>76</v>
      </c>
      <c r="M184" s="9">
        <v>65</v>
      </c>
      <c r="N184" s="11">
        <v>45</v>
      </c>
      <c r="O184" s="13">
        <v>92</v>
      </c>
      <c r="P184" s="15">
        <v>42</v>
      </c>
      <c r="Q184" s="17">
        <v>91</v>
      </c>
      <c r="R184" s="22">
        <f t="shared" si="6"/>
        <v>411</v>
      </c>
    </row>
    <row r="185" spans="2:18" ht="30" customHeight="1" x14ac:dyDescent="0.25">
      <c r="B185" s="5" t="e" vm="195">
        <v>#VALUE!</v>
      </c>
      <c r="C185" s="5">
        <f t="shared" si="5"/>
        <v>182</v>
      </c>
      <c r="D185" s="1" t="s">
        <v>272</v>
      </c>
      <c r="E185" s="27" t="s">
        <v>16</v>
      </c>
      <c r="F185" s="49" t="s">
        <v>63</v>
      </c>
      <c r="G185" s="1" t="e" vm="2">
        <v>#VALUE!</v>
      </c>
      <c r="H185" s="1" t="s">
        <v>16</v>
      </c>
      <c r="I185" s="1"/>
      <c r="J185" s="1"/>
      <c r="K185" s="1" t="s">
        <v>273</v>
      </c>
      <c r="L185" s="7">
        <v>60</v>
      </c>
      <c r="M185" s="9">
        <v>40</v>
      </c>
      <c r="N185" s="11">
        <v>80</v>
      </c>
      <c r="O185" s="13">
        <v>60</v>
      </c>
      <c r="P185" s="15">
        <v>45</v>
      </c>
      <c r="Q185" s="17">
        <v>40</v>
      </c>
      <c r="R185" s="22">
        <f t="shared" si="6"/>
        <v>325</v>
      </c>
    </row>
    <row r="186" spans="2:18" ht="30" customHeight="1" x14ac:dyDescent="0.25">
      <c r="B186" s="5" t="e" vm="196">
        <v>#VALUE!</v>
      </c>
      <c r="C186" s="5">
        <f t="shared" si="5"/>
        <v>183</v>
      </c>
      <c r="D186" s="1" t="s">
        <v>274</v>
      </c>
      <c r="E186" s="27" t="s">
        <v>16</v>
      </c>
      <c r="F186" s="49" t="s">
        <v>63</v>
      </c>
      <c r="G186" s="1" t="e" vm="2">
        <v>#VALUE!</v>
      </c>
      <c r="H186" s="1" t="s">
        <v>16</v>
      </c>
      <c r="I186" s="1"/>
      <c r="J186" s="1"/>
      <c r="K186" s="1" t="s">
        <v>22</v>
      </c>
      <c r="L186" s="7">
        <v>95</v>
      </c>
      <c r="M186" s="9">
        <v>95</v>
      </c>
      <c r="N186" s="11">
        <v>85</v>
      </c>
      <c r="O186" s="13">
        <v>125</v>
      </c>
      <c r="P186" s="15">
        <v>75</v>
      </c>
      <c r="Q186" s="17">
        <v>55</v>
      </c>
      <c r="R186" s="22">
        <f t="shared" si="6"/>
        <v>530</v>
      </c>
    </row>
    <row r="187" spans="2:18" ht="30" customHeight="1" x14ac:dyDescent="0.25">
      <c r="B187" s="5" t="e" vm="197">
        <v>#VALUE!</v>
      </c>
      <c r="C187" s="5">
        <f t="shared" si="5"/>
        <v>184</v>
      </c>
      <c r="D187" s="1" t="s">
        <v>275</v>
      </c>
      <c r="E187" s="35" t="s">
        <v>41</v>
      </c>
      <c r="F187" s="43" t="s">
        <v>69</v>
      </c>
      <c r="G187" s="1" t="e" vm="17">
        <v>#VALUE!</v>
      </c>
      <c r="H187" s="1" t="s">
        <v>41</v>
      </c>
      <c r="I187" s="1" t="e" vm="49">
        <v>#VALUE!</v>
      </c>
      <c r="J187" s="1" t="s">
        <v>69</v>
      </c>
      <c r="K187" s="1" t="s">
        <v>176</v>
      </c>
      <c r="L187" s="7">
        <v>40</v>
      </c>
      <c r="M187" s="9">
        <v>30</v>
      </c>
      <c r="N187" s="11">
        <v>35</v>
      </c>
      <c r="O187" s="13">
        <v>45</v>
      </c>
      <c r="P187" s="15">
        <v>40</v>
      </c>
      <c r="Q187" s="17">
        <v>55</v>
      </c>
      <c r="R187" s="22">
        <f t="shared" si="6"/>
        <v>245</v>
      </c>
    </row>
    <row r="188" spans="2:18" ht="30" customHeight="1" x14ac:dyDescent="0.25">
      <c r="B188" s="5" t="e" vm="198">
        <v>#VALUE!</v>
      </c>
      <c r="C188" s="5">
        <f t="shared" si="5"/>
        <v>185</v>
      </c>
      <c r="D188" s="1" t="s">
        <v>276</v>
      </c>
      <c r="E188" s="35" t="s">
        <v>41</v>
      </c>
      <c r="F188" s="43" t="s">
        <v>69</v>
      </c>
      <c r="G188" s="1" t="e" vm="17">
        <v>#VALUE!</v>
      </c>
      <c r="H188" s="1" t="s">
        <v>41</v>
      </c>
      <c r="I188" s="1" t="e" vm="49">
        <v>#VALUE!</v>
      </c>
      <c r="J188" s="1" t="s">
        <v>69</v>
      </c>
      <c r="K188" s="1" t="s">
        <v>22</v>
      </c>
      <c r="L188" s="7">
        <v>85</v>
      </c>
      <c r="M188" s="9">
        <v>70</v>
      </c>
      <c r="N188" s="11">
        <v>80</v>
      </c>
      <c r="O188" s="13">
        <v>97</v>
      </c>
      <c r="P188" s="15">
        <v>80</v>
      </c>
      <c r="Q188" s="17">
        <v>123</v>
      </c>
      <c r="R188" s="22">
        <f t="shared" si="6"/>
        <v>535</v>
      </c>
    </row>
    <row r="189" spans="2:18" ht="30" customHeight="1" x14ac:dyDescent="0.25">
      <c r="B189" s="5" t="e" vm="199">
        <v>#VALUE!</v>
      </c>
      <c r="C189" s="5">
        <f t="shared" si="5"/>
        <v>186</v>
      </c>
      <c r="D189" s="1" t="s">
        <v>277</v>
      </c>
      <c r="E189" s="32" t="s">
        <v>30</v>
      </c>
      <c r="F189" s="28"/>
      <c r="G189" s="1" t="e" vm="64">
        <v>#VALUE!</v>
      </c>
      <c r="H189" s="1" t="s">
        <v>118</v>
      </c>
      <c r="I189" s="1"/>
      <c r="J189" s="1"/>
      <c r="K189" s="1" t="s">
        <v>22</v>
      </c>
      <c r="L189" s="7">
        <v>150</v>
      </c>
      <c r="M189" s="9">
        <v>100</v>
      </c>
      <c r="N189" s="11">
        <v>115</v>
      </c>
      <c r="O189" s="13">
        <v>65</v>
      </c>
      <c r="P189" s="15">
        <v>65</v>
      </c>
      <c r="Q189" s="17">
        <v>35</v>
      </c>
      <c r="R189" s="22">
        <f t="shared" si="6"/>
        <v>530</v>
      </c>
    </row>
    <row r="190" spans="2:18" ht="30" customHeight="1" x14ac:dyDescent="0.25">
      <c r="B190" s="5" t="e" vm="200">
        <v>#VALUE!</v>
      </c>
      <c r="C190" s="5">
        <f t="shared" si="5"/>
        <v>187</v>
      </c>
      <c r="D190" s="1" t="s">
        <v>278</v>
      </c>
      <c r="E190" s="63" t="s">
        <v>69</v>
      </c>
      <c r="F190" s="51" t="s">
        <v>30</v>
      </c>
      <c r="G190" s="1" t="e" vm="64">
        <v>#VALUE!</v>
      </c>
      <c r="H190" s="1" t="s">
        <v>118</v>
      </c>
      <c r="I190" s="1"/>
      <c r="J190" s="1"/>
      <c r="K190" s="1" t="s">
        <v>22</v>
      </c>
      <c r="L190" s="7">
        <v>68</v>
      </c>
      <c r="M190" s="9">
        <v>50</v>
      </c>
      <c r="N190" s="11">
        <v>60</v>
      </c>
      <c r="O190" s="13">
        <v>120</v>
      </c>
      <c r="P190" s="15">
        <v>95</v>
      </c>
      <c r="Q190" s="17">
        <v>82</v>
      </c>
      <c r="R190" s="22">
        <f t="shared" si="6"/>
        <v>475</v>
      </c>
    </row>
    <row r="191" spans="2:18" ht="30" customHeight="1" x14ac:dyDescent="0.25">
      <c r="B191" s="5" t="e" vm="201">
        <v>#VALUE!</v>
      </c>
      <c r="C191" s="5">
        <f t="shared" si="5"/>
        <v>188</v>
      </c>
      <c r="D191" s="1" t="s">
        <v>279</v>
      </c>
      <c r="E191" s="29" t="s">
        <v>24</v>
      </c>
      <c r="F191" s="28"/>
      <c r="G191" s="1" t="e" vm="26">
        <v>#VALUE!</v>
      </c>
      <c r="H191" s="1" t="s">
        <v>54</v>
      </c>
      <c r="I191" s="1"/>
      <c r="J191" s="1"/>
      <c r="K191" s="1" t="s">
        <v>280</v>
      </c>
      <c r="L191" s="7">
        <v>40</v>
      </c>
      <c r="M191" s="9">
        <v>50</v>
      </c>
      <c r="N191" s="11">
        <v>40</v>
      </c>
      <c r="O191" s="13">
        <v>50</v>
      </c>
      <c r="P191" s="15">
        <v>40</v>
      </c>
      <c r="Q191" s="17">
        <v>35</v>
      </c>
      <c r="R191" s="22">
        <f t="shared" si="6"/>
        <v>255</v>
      </c>
    </row>
    <row r="192" spans="2:18" ht="30" customHeight="1" x14ac:dyDescent="0.25">
      <c r="B192" s="5" t="e" vm="202">
        <v>#VALUE!</v>
      </c>
      <c r="C192" s="5">
        <f t="shared" si="5"/>
        <v>189</v>
      </c>
      <c r="D192" s="1" t="s">
        <v>281</v>
      </c>
      <c r="E192" s="29" t="s">
        <v>24</v>
      </c>
      <c r="F192" s="49" t="s">
        <v>63</v>
      </c>
      <c r="G192" s="1" t="e" vm="26">
        <v>#VALUE!</v>
      </c>
      <c r="H192" s="1" t="s">
        <v>54</v>
      </c>
      <c r="I192" s="1"/>
      <c r="J192" s="1"/>
      <c r="K192" s="1" t="s">
        <v>22</v>
      </c>
      <c r="L192" s="7">
        <v>85</v>
      </c>
      <c r="M192" s="9">
        <v>60</v>
      </c>
      <c r="N192" s="11">
        <v>100</v>
      </c>
      <c r="O192" s="13">
        <v>125</v>
      </c>
      <c r="P192" s="15">
        <v>80</v>
      </c>
      <c r="Q192" s="17">
        <v>75</v>
      </c>
      <c r="R192" s="22">
        <f t="shared" si="6"/>
        <v>525</v>
      </c>
    </row>
    <row r="193" spans="2:18" ht="30" customHeight="1" x14ac:dyDescent="0.25">
      <c r="B193" s="5" t="e" vm="203">
        <v>#VALUE!</v>
      </c>
      <c r="C193" s="5">
        <f t="shared" si="5"/>
        <v>190</v>
      </c>
      <c r="D193" s="1" t="s">
        <v>282</v>
      </c>
      <c r="E193" s="29" t="s">
        <v>24</v>
      </c>
      <c r="F193" s="47" t="s">
        <v>65</v>
      </c>
      <c r="G193" s="1" t="e" vm="26">
        <v>#VALUE!</v>
      </c>
      <c r="H193" s="1" t="s">
        <v>54</v>
      </c>
      <c r="I193" s="1"/>
      <c r="J193" s="1"/>
      <c r="K193" s="1" t="s">
        <v>22</v>
      </c>
      <c r="L193" s="7">
        <v>75</v>
      </c>
      <c r="M193" s="9">
        <v>125</v>
      </c>
      <c r="N193" s="11">
        <v>80</v>
      </c>
      <c r="O193" s="13">
        <v>60</v>
      </c>
      <c r="P193" s="15">
        <v>100</v>
      </c>
      <c r="Q193" s="17">
        <v>85</v>
      </c>
      <c r="R193" s="22">
        <f t="shared" si="6"/>
        <v>525</v>
      </c>
    </row>
    <row r="194" spans="2:18" ht="30" customHeight="1" x14ac:dyDescent="0.25">
      <c r="B194" s="5" t="e" vm="204">
        <v>#VALUE!</v>
      </c>
      <c r="C194" s="5">
        <f t="shared" si="5"/>
        <v>191</v>
      </c>
      <c r="D194" s="1" t="s">
        <v>283</v>
      </c>
      <c r="E194" s="36" t="s">
        <v>45</v>
      </c>
      <c r="F194" s="57" t="s">
        <v>24</v>
      </c>
      <c r="G194" s="1" t="e" vm="21">
        <v>#VALUE!</v>
      </c>
      <c r="H194" s="1" t="s">
        <v>45</v>
      </c>
      <c r="I194" s="1"/>
      <c r="J194" s="1"/>
      <c r="K194" s="1" t="s">
        <v>284</v>
      </c>
      <c r="L194" s="7">
        <v>55</v>
      </c>
      <c r="M194" s="9">
        <v>85</v>
      </c>
      <c r="N194" s="11">
        <v>55</v>
      </c>
      <c r="O194" s="13">
        <v>50</v>
      </c>
      <c r="P194" s="15">
        <v>55</v>
      </c>
      <c r="Q194" s="17">
        <v>60</v>
      </c>
      <c r="R194" s="22">
        <f t="shared" si="6"/>
        <v>360</v>
      </c>
    </row>
    <row r="195" spans="2:18" ht="30" customHeight="1" x14ac:dyDescent="0.25">
      <c r="B195" s="5" t="e" vm="205">
        <v>#VALUE!</v>
      </c>
      <c r="C195" s="5">
        <f t="shared" si="5"/>
        <v>192</v>
      </c>
      <c r="D195" s="1" t="s">
        <v>285</v>
      </c>
      <c r="E195" s="36" t="s">
        <v>45</v>
      </c>
      <c r="F195" s="57" t="s">
        <v>24</v>
      </c>
      <c r="G195" s="1" t="e" vm="21">
        <v>#VALUE!</v>
      </c>
      <c r="H195" s="1" t="s">
        <v>45</v>
      </c>
      <c r="I195" s="1"/>
      <c r="J195" s="1"/>
      <c r="K195" s="1" t="s">
        <v>22</v>
      </c>
      <c r="L195" s="7">
        <v>85</v>
      </c>
      <c r="M195" s="9">
        <v>60</v>
      </c>
      <c r="N195" s="11">
        <v>65</v>
      </c>
      <c r="O195" s="13">
        <v>135</v>
      </c>
      <c r="P195" s="15">
        <v>105</v>
      </c>
      <c r="Q195" s="17">
        <v>100</v>
      </c>
      <c r="R195" s="22">
        <f t="shared" si="6"/>
        <v>550</v>
      </c>
    </row>
    <row r="196" spans="2:18" ht="30" customHeight="1" x14ac:dyDescent="0.25">
      <c r="B196" s="5" t="e" vm="206">
        <v>#VALUE!</v>
      </c>
      <c r="C196" s="5">
        <f t="shared" si="5"/>
        <v>193</v>
      </c>
      <c r="D196" s="1" t="s">
        <v>286</v>
      </c>
      <c r="E196" s="63" t="s">
        <v>69</v>
      </c>
      <c r="F196" s="57" t="s">
        <v>24</v>
      </c>
      <c r="G196" s="1" t="e" vm="138">
        <v>#VALUE!</v>
      </c>
      <c r="H196" s="1" t="s">
        <v>202</v>
      </c>
      <c r="I196" s="1" t="e" vm="49">
        <v>#VALUE!</v>
      </c>
      <c r="J196" s="1" t="s">
        <v>69</v>
      </c>
      <c r="K196" s="1" t="s">
        <v>22</v>
      </c>
      <c r="L196" s="7">
        <v>60</v>
      </c>
      <c r="M196" s="9">
        <v>78</v>
      </c>
      <c r="N196" s="11">
        <v>135</v>
      </c>
      <c r="O196" s="13">
        <v>91</v>
      </c>
      <c r="P196" s="15">
        <v>85</v>
      </c>
      <c r="Q196" s="17">
        <v>36</v>
      </c>
      <c r="R196" s="22">
        <f t="shared" si="6"/>
        <v>485</v>
      </c>
    </row>
    <row r="197" spans="2:18" ht="30" customHeight="1" x14ac:dyDescent="0.25">
      <c r="B197" s="5" t="e" vm="207">
        <v>#VALUE!</v>
      </c>
      <c r="C197" s="5">
        <f t="shared" si="5"/>
        <v>194</v>
      </c>
      <c r="D197" s="1" t="s">
        <v>287</v>
      </c>
      <c r="E197" s="63" t="s">
        <v>69</v>
      </c>
      <c r="F197" s="41" t="s">
        <v>37</v>
      </c>
      <c r="G197" s="1" t="e" vm="138">
        <v>#VALUE!</v>
      </c>
      <c r="H197" s="1" t="s">
        <v>202</v>
      </c>
      <c r="I197" s="1" t="e" vm="49">
        <v>#VALUE!</v>
      </c>
      <c r="J197" s="1" t="s">
        <v>69</v>
      </c>
      <c r="K197" s="1" t="s">
        <v>22</v>
      </c>
      <c r="L197" s="7">
        <v>78</v>
      </c>
      <c r="M197" s="9">
        <v>60</v>
      </c>
      <c r="N197" s="11">
        <v>85</v>
      </c>
      <c r="O197" s="13">
        <v>135</v>
      </c>
      <c r="P197" s="15">
        <v>91</v>
      </c>
      <c r="Q197" s="17">
        <v>36</v>
      </c>
      <c r="R197" s="22">
        <f t="shared" si="6"/>
        <v>485</v>
      </c>
    </row>
    <row r="198" spans="2:18" ht="30" customHeight="1" x14ac:dyDescent="0.25">
      <c r="B198" s="5" t="e" vm="208">
        <v>#VALUE!</v>
      </c>
      <c r="C198" s="5">
        <f t="shared" ref="C198:C267" si="7">C197+1</f>
        <v>195</v>
      </c>
      <c r="D198" s="1" t="s">
        <v>291</v>
      </c>
      <c r="E198" s="44" t="s">
        <v>67</v>
      </c>
      <c r="F198" s="58" t="s">
        <v>68</v>
      </c>
      <c r="G198" s="1" t="e" vm="209">
        <v>#VALUE!</v>
      </c>
      <c r="H198" s="1" t="s">
        <v>293</v>
      </c>
      <c r="I198" s="1"/>
      <c r="J198" s="1"/>
      <c r="K198" s="1" t="s">
        <v>83</v>
      </c>
      <c r="L198" s="7">
        <v>40</v>
      </c>
      <c r="M198" s="9">
        <v>38</v>
      </c>
      <c r="N198" s="11">
        <v>35</v>
      </c>
      <c r="O198" s="13">
        <v>54</v>
      </c>
      <c r="P198" s="15">
        <v>35</v>
      </c>
      <c r="Q198" s="17">
        <v>40</v>
      </c>
      <c r="R198" s="22">
        <f t="shared" ref="R198:R201" si="8">SUM(L198:Q198)</f>
        <v>242</v>
      </c>
    </row>
    <row r="199" spans="2:18" ht="30" customHeight="1" x14ac:dyDescent="0.25">
      <c r="B199" s="5" t="e" vm="210">
        <v>#VALUE!</v>
      </c>
      <c r="C199" s="5">
        <f t="shared" si="7"/>
        <v>196</v>
      </c>
      <c r="D199" s="1" t="s">
        <v>292</v>
      </c>
      <c r="E199" s="44" t="s">
        <v>67</v>
      </c>
      <c r="F199" s="58" t="s">
        <v>68</v>
      </c>
      <c r="G199" s="1" t="e" vm="26">
        <v>#VALUE!</v>
      </c>
      <c r="H199" s="1" t="s">
        <v>54</v>
      </c>
      <c r="I199" s="1"/>
      <c r="J199" s="1"/>
      <c r="K199" s="1" t="s">
        <v>22</v>
      </c>
      <c r="L199" s="7">
        <v>75</v>
      </c>
      <c r="M199" s="9">
        <v>98</v>
      </c>
      <c r="N199" s="11">
        <v>70</v>
      </c>
      <c r="O199" s="13">
        <v>114</v>
      </c>
      <c r="P199" s="15">
        <v>70</v>
      </c>
      <c r="Q199" s="17">
        <v>75</v>
      </c>
      <c r="R199" s="22">
        <f t="shared" si="8"/>
        <v>502</v>
      </c>
    </row>
    <row r="200" spans="2:18" ht="30" customHeight="1" x14ac:dyDescent="0.25">
      <c r="B200" t="e" vm="211">
        <v>#VALUE!</v>
      </c>
      <c r="C200" s="5">
        <f t="shared" si="7"/>
        <v>197</v>
      </c>
      <c r="D200" s="1" t="s">
        <v>358</v>
      </c>
      <c r="E200" s="39" t="s">
        <v>27</v>
      </c>
      <c r="F200" s="49" t="s">
        <v>63</v>
      </c>
      <c r="G200" s="1" t="e" vm="26">
        <v>#VALUE!</v>
      </c>
      <c r="H200" s="1" t="s">
        <v>54</v>
      </c>
      <c r="K200" s="1" t="s">
        <v>173</v>
      </c>
      <c r="L200" s="7">
        <v>30</v>
      </c>
      <c r="M200" s="9">
        <v>40</v>
      </c>
      <c r="N200" s="11">
        <v>55</v>
      </c>
      <c r="O200" s="13">
        <v>40</v>
      </c>
      <c r="P200" s="15">
        <v>55</v>
      </c>
      <c r="Q200" s="17">
        <v>60</v>
      </c>
      <c r="R200" s="22">
        <f t="shared" si="8"/>
        <v>280</v>
      </c>
    </row>
    <row r="201" spans="2:18" ht="30" customHeight="1" x14ac:dyDescent="0.25">
      <c r="B201" t="e" vm="212">
        <v>#VALUE!</v>
      </c>
      <c r="C201" s="5">
        <f t="shared" si="7"/>
        <v>198</v>
      </c>
      <c r="D201" s="1" t="s">
        <v>359</v>
      </c>
      <c r="E201" s="39" t="s">
        <v>27</v>
      </c>
      <c r="F201" s="49" t="s">
        <v>63</v>
      </c>
      <c r="G201" s="1" t="e" vm="26">
        <v>#VALUE!</v>
      </c>
      <c r="H201" s="1" t="s">
        <v>54</v>
      </c>
      <c r="K201" s="1" t="s">
        <v>22</v>
      </c>
      <c r="L201" s="7">
        <v>60</v>
      </c>
      <c r="M201" s="9">
        <v>60</v>
      </c>
      <c r="N201" s="11">
        <v>75</v>
      </c>
      <c r="O201" s="13">
        <v>60</v>
      </c>
      <c r="P201" s="15">
        <v>75</v>
      </c>
      <c r="Q201" s="17">
        <v>80</v>
      </c>
      <c r="R201" s="22">
        <f t="shared" si="8"/>
        <v>410</v>
      </c>
    </row>
    <row r="202" spans="2:18" ht="30" customHeight="1" x14ac:dyDescent="0.25">
      <c r="B202" t="e" vm="213">
        <v>#VALUE!</v>
      </c>
      <c r="C202" s="5">
        <f t="shared" si="7"/>
        <v>199</v>
      </c>
      <c r="D202" s="1" t="s">
        <v>298</v>
      </c>
      <c r="E202" s="36" t="s">
        <v>45</v>
      </c>
      <c r="F202" s="33" t="s">
        <v>34</v>
      </c>
      <c r="G202" s="1" t="e" vm="21">
        <v>#VALUE!</v>
      </c>
      <c r="H202" s="1" t="s">
        <v>45</v>
      </c>
      <c r="K202" s="1" t="s">
        <v>22</v>
      </c>
      <c r="L202" s="7">
        <v>58</v>
      </c>
      <c r="M202" s="9">
        <v>109</v>
      </c>
      <c r="N202" s="11">
        <v>112</v>
      </c>
      <c r="O202" s="13">
        <v>48</v>
      </c>
      <c r="P202" s="15">
        <v>48</v>
      </c>
      <c r="Q202" s="17">
        <v>109</v>
      </c>
      <c r="R202" s="22">
        <f t="shared" ref="R202:R267" si="9">SUM(L202:Q202)</f>
        <v>484</v>
      </c>
    </row>
    <row r="203" spans="2:18" ht="30" customHeight="1" x14ac:dyDescent="0.25">
      <c r="B203" t="e" vm="214">
        <v>#VALUE!</v>
      </c>
      <c r="C203" s="5">
        <f t="shared" si="7"/>
        <v>200</v>
      </c>
      <c r="D203" s="1" t="s">
        <v>299</v>
      </c>
      <c r="E203" s="29" t="s">
        <v>24</v>
      </c>
      <c r="F203" s="30"/>
      <c r="G203" s="1" t="e" vm="3">
        <v>#VALUE!</v>
      </c>
      <c r="H203" s="1" t="s">
        <v>17</v>
      </c>
      <c r="K203" s="1" t="s">
        <v>22</v>
      </c>
      <c r="L203" s="7">
        <v>85</v>
      </c>
      <c r="M203" s="9">
        <v>97</v>
      </c>
      <c r="N203" s="11">
        <v>66</v>
      </c>
      <c r="O203" s="13">
        <v>105</v>
      </c>
      <c r="P203" s="15">
        <v>66</v>
      </c>
      <c r="Q203" s="17">
        <v>65</v>
      </c>
      <c r="R203" s="22">
        <f t="shared" si="9"/>
        <v>484</v>
      </c>
    </row>
    <row r="204" spans="2:18" ht="30" customHeight="1" x14ac:dyDescent="0.25">
      <c r="B204" t="e" vm="215">
        <v>#VALUE!</v>
      </c>
      <c r="C204" s="5">
        <f t="shared" si="7"/>
        <v>201</v>
      </c>
      <c r="D204" s="1" t="s">
        <v>300</v>
      </c>
      <c r="E204" s="50" t="s">
        <v>65</v>
      </c>
      <c r="F204" s="62" t="s">
        <v>16</v>
      </c>
      <c r="G204" s="1" t="e" vm="2">
        <v>#VALUE!</v>
      </c>
      <c r="H204" s="1" t="s">
        <v>16</v>
      </c>
      <c r="I204" s="1" t="e" vm="74">
        <v>#VALUE!</v>
      </c>
      <c r="J204" s="1" t="s">
        <v>114</v>
      </c>
      <c r="K204" s="1" t="s">
        <v>260</v>
      </c>
      <c r="L204" s="7">
        <v>43</v>
      </c>
      <c r="M204" s="9">
        <v>70</v>
      </c>
      <c r="N204" s="11">
        <v>48</v>
      </c>
      <c r="O204" s="13">
        <v>50</v>
      </c>
      <c r="P204" s="15">
        <v>60</v>
      </c>
      <c r="Q204" s="17">
        <v>38</v>
      </c>
      <c r="R204" s="22">
        <f t="shared" si="9"/>
        <v>309</v>
      </c>
    </row>
    <row r="205" spans="2:18" ht="30" customHeight="1" x14ac:dyDescent="0.25">
      <c r="B205" t="e" vm="216">
        <v>#VALUE!</v>
      </c>
      <c r="C205" s="5">
        <f t="shared" si="7"/>
        <v>202</v>
      </c>
      <c r="D205" s="1" t="s">
        <v>301</v>
      </c>
      <c r="E205" s="50" t="s">
        <v>65</v>
      </c>
      <c r="F205" s="62" t="s">
        <v>16</v>
      </c>
      <c r="G205" s="1" t="e" vm="2">
        <v>#VALUE!</v>
      </c>
      <c r="H205" s="1" t="s">
        <v>16</v>
      </c>
      <c r="I205" s="1" t="e" vm="74">
        <v>#VALUE!</v>
      </c>
      <c r="J205" s="1" t="s">
        <v>114</v>
      </c>
      <c r="K205" s="1" t="s">
        <v>22</v>
      </c>
      <c r="L205" s="7">
        <v>85</v>
      </c>
      <c r="M205" s="9">
        <v>110</v>
      </c>
      <c r="N205" s="11">
        <v>76</v>
      </c>
      <c r="O205" s="13">
        <v>65</v>
      </c>
      <c r="P205" s="15">
        <v>82</v>
      </c>
      <c r="Q205" s="17">
        <v>56</v>
      </c>
      <c r="R205" s="22">
        <f t="shared" si="9"/>
        <v>474</v>
      </c>
    </row>
    <row r="206" spans="2:18" ht="30" customHeight="1" x14ac:dyDescent="0.25">
      <c r="B206" s="5" t="e" vm="217">
        <v>#VALUE!</v>
      </c>
      <c r="C206" s="5">
        <f t="shared" si="7"/>
        <v>203</v>
      </c>
      <c r="D206" s="1" t="s">
        <v>304</v>
      </c>
      <c r="E206" s="46" t="s">
        <v>66</v>
      </c>
      <c r="F206" s="28"/>
      <c r="G206" s="1" t="e" vm="138">
        <v>#VALUE!</v>
      </c>
      <c r="H206" s="1" t="s">
        <v>202</v>
      </c>
      <c r="I206" s="1" t="e" vm="34">
        <v>#VALUE!</v>
      </c>
      <c r="J206" s="1" t="s">
        <v>71</v>
      </c>
      <c r="K206" s="1" t="s">
        <v>173</v>
      </c>
      <c r="L206" s="7">
        <v>55</v>
      </c>
      <c r="M206" s="9">
        <v>69</v>
      </c>
      <c r="N206" s="11">
        <v>85</v>
      </c>
      <c r="O206" s="13">
        <v>32</v>
      </c>
      <c r="P206" s="15">
        <v>35</v>
      </c>
      <c r="Q206" s="17">
        <v>28</v>
      </c>
      <c r="R206" s="22">
        <f t="shared" si="9"/>
        <v>304</v>
      </c>
    </row>
    <row r="207" spans="2:18" ht="30" customHeight="1" x14ac:dyDescent="0.25">
      <c r="B207" s="5" t="e" vm="218">
        <v>#VALUE!</v>
      </c>
      <c r="C207" s="5">
        <f t="shared" si="7"/>
        <v>204</v>
      </c>
      <c r="D207" s="1" t="s">
        <v>305</v>
      </c>
      <c r="E207" s="46" t="s">
        <v>66</v>
      </c>
      <c r="F207" s="28"/>
      <c r="G207" s="1" t="e" vm="138">
        <v>#VALUE!</v>
      </c>
      <c r="H207" s="1" t="s">
        <v>202</v>
      </c>
      <c r="I207" s="1" t="e" vm="34">
        <v>#VALUE!</v>
      </c>
      <c r="J207" s="1" t="s">
        <v>71</v>
      </c>
      <c r="K207" s="1" t="s">
        <v>22</v>
      </c>
      <c r="L207" s="7">
        <v>95</v>
      </c>
      <c r="M207" s="9">
        <v>117</v>
      </c>
      <c r="N207" s="11">
        <v>184</v>
      </c>
      <c r="O207" s="13">
        <v>44</v>
      </c>
      <c r="P207" s="15">
        <v>46</v>
      </c>
      <c r="Q207" s="17">
        <v>28</v>
      </c>
      <c r="R207" s="22">
        <f t="shared" si="9"/>
        <v>514</v>
      </c>
    </row>
    <row r="208" spans="2:18" ht="30" customHeight="1" x14ac:dyDescent="0.25">
      <c r="B208" s="5" t="e" vm="219">
        <v>#VALUE!</v>
      </c>
      <c r="C208" s="5">
        <f t="shared" si="7"/>
        <v>205</v>
      </c>
      <c r="D208" s="1" t="s">
        <v>306</v>
      </c>
      <c r="E208" s="46" t="s">
        <v>66</v>
      </c>
      <c r="F208" s="28"/>
      <c r="G208" s="1" t="e" vm="3">
        <v>#VALUE!</v>
      </c>
      <c r="H208" s="1" t="s">
        <v>17</v>
      </c>
      <c r="I208" s="1"/>
      <c r="J208" s="1"/>
      <c r="K208" s="1" t="s">
        <v>243</v>
      </c>
      <c r="L208" s="7">
        <v>108</v>
      </c>
      <c r="M208" s="9">
        <v>68</v>
      </c>
      <c r="N208" s="11">
        <v>45</v>
      </c>
      <c r="O208" s="13">
        <v>30</v>
      </c>
      <c r="P208" s="15">
        <v>40</v>
      </c>
      <c r="Q208" s="17">
        <v>43</v>
      </c>
      <c r="R208" s="22">
        <f t="shared" si="9"/>
        <v>334</v>
      </c>
    </row>
    <row r="209" spans="2:18" ht="30" customHeight="1" x14ac:dyDescent="0.25">
      <c r="B209" s="5" t="e" vm="220">
        <v>#VALUE!</v>
      </c>
      <c r="C209" s="5">
        <f t="shared" si="7"/>
        <v>206</v>
      </c>
      <c r="D209" s="1" t="s">
        <v>307</v>
      </c>
      <c r="E209" s="46" t="s">
        <v>66</v>
      </c>
      <c r="F209" s="28"/>
      <c r="G209" s="1" t="e" vm="3">
        <v>#VALUE!</v>
      </c>
      <c r="H209" s="1" t="s">
        <v>17</v>
      </c>
      <c r="I209" s="1"/>
      <c r="J209" s="1"/>
      <c r="K209" s="1" t="s">
        <v>22</v>
      </c>
      <c r="L209" s="7">
        <v>170</v>
      </c>
      <c r="M209" s="9">
        <v>113</v>
      </c>
      <c r="N209" s="11">
        <v>65</v>
      </c>
      <c r="O209" s="13">
        <v>45</v>
      </c>
      <c r="P209" s="15">
        <v>55</v>
      </c>
      <c r="Q209" s="17">
        <v>73</v>
      </c>
      <c r="R209" s="22">
        <f t="shared" si="9"/>
        <v>521</v>
      </c>
    </row>
    <row r="210" spans="2:18" ht="30" customHeight="1" x14ac:dyDescent="0.25">
      <c r="B210" s="5" t="e" vm="221">
        <v>#VALUE!</v>
      </c>
      <c r="C210" s="5">
        <f t="shared" si="7"/>
        <v>207</v>
      </c>
      <c r="D210" s="1" t="s">
        <v>308</v>
      </c>
      <c r="E210" s="46" t="s">
        <v>66</v>
      </c>
      <c r="F210" s="28"/>
      <c r="G210" s="1" t="e" vm="3">
        <v>#VALUE!</v>
      </c>
      <c r="H210" s="1" t="s">
        <v>17</v>
      </c>
      <c r="I210" s="1" t="e" vm="10">
        <v>#VALUE!</v>
      </c>
      <c r="J210" s="1" t="s">
        <v>31</v>
      </c>
      <c r="K210" s="1" t="s">
        <v>22</v>
      </c>
      <c r="L210" s="7">
        <v>75</v>
      </c>
      <c r="M210" s="9">
        <v>80</v>
      </c>
      <c r="N210" s="11">
        <v>110</v>
      </c>
      <c r="O210" s="13">
        <v>65</v>
      </c>
      <c r="P210" s="15">
        <v>90</v>
      </c>
      <c r="Q210" s="17">
        <v>50</v>
      </c>
      <c r="R210" s="22">
        <f t="shared" si="9"/>
        <v>470</v>
      </c>
    </row>
    <row r="211" spans="2:18" ht="30" customHeight="1" x14ac:dyDescent="0.25">
      <c r="B211" t="e" vm="222">
        <v>#VALUE!</v>
      </c>
      <c r="C211" s="5">
        <f t="shared" si="7"/>
        <v>208</v>
      </c>
      <c r="D211" s="1" t="s">
        <v>309</v>
      </c>
      <c r="E211" s="23" t="s">
        <v>64</v>
      </c>
      <c r="F211" s="49" t="s">
        <v>63</v>
      </c>
      <c r="G211" s="1" t="e" vm="34">
        <v>#VALUE!</v>
      </c>
      <c r="H211" s="1" t="s">
        <v>71</v>
      </c>
      <c r="K211" s="1" t="s">
        <v>22</v>
      </c>
      <c r="L211" s="7">
        <v>90</v>
      </c>
      <c r="M211" s="9">
        <v>95</v>
      </c>
      <c r="N211" s="11">
        <v>85</v>
      </c>
      <c r="O211" s="13">
        <v>55</v>
      </c>
      <c r="P211" s="15">
        <v>65</v>
      </c>
      <c r="Q211" s="17">
        <v>70</v>
      </c>
      <c r="R211" s="22">
        <f t="shared" si="9"/>
        <v>460</v>
      </c>
    </row>
    <row r="212" spans="2:18" ht="30" customHeight="1" x14ac:dyDescent="0.25">
      <c r="B212" t="e" vm="223">
        <v>#VALUE!</v>
      </c>
      <c r="C212" s="5">
        <f t="shared" si="7"/>
        <v>209</v>
      </c>
      <c r="D212" s="1" t="s">
        <v>310</v>
      </c>
      <c r="E212" s="23" t="s">
        <v>64</v>
      </c>
      <c r="F212" s="49" t="s">
        <v>63</v>
      </c>
      <c r="G212" s="1" t="e" vm="34">
        <v>#VALUE!</v>
      </c>
      <c r="H212" s="1" t="s">
        <v>71</v>
      </c>
      <c r="K212" s="1" t="s">
        <v>22</v>
      </c>
      <c r="L212" s="7">
        <v>90</v>
      </c>
      <c r="M212" s="9">
        <v>55</v>
      </c>
      <c r="N212" s="11">
        <v>65</v>
      </c>
      <c r="O212" s="13">
        <v>95</v>
      </c>
      <c r="P212" s="15">
        <v>85</v>
      </c>
      <c r="Q212" s="17">
        <v>70</v>
      </c>
      <c r="R212" s="22">
        <f t="shared" si="9"/>
        <v>460</v>
      </c>
    </row>
    <row r="213" spans="2:18" ht="30" customHeight="1" x14ac:dyDescent="0.25">
      <c r="B213" t="e" vm="224">
        <v>#VALUE!</v>
      </c>
      <c r="C213" s="5">
        <f t="shared" si="7"/>
        <v>210</v>
      </c>
      <c r="D213" s="1" t="s">
        <v>315</v>
      </c>
      <c r="E213" s="52" t="s">
        <v>34</v>
      </c>
      <c r="F213" s="45" t="s">
        <v>41</v>
      </c>
      <c r="G213" s="1" t="e" vm="17">
        <v>#VALUE!</v>
      </c>
      <c r="H213" s="1" t="s">
        <v>41</v>
      </c>
      <c r="K213" s="1" t="s">
        <v>22</v>
      </c>
      <c r="L213" s="7">
        <v>65</v>
      </c>
      <c r="M213" s="9">
        <v>80</v>
      </c>
      <c r="N213" s="11">
        <v>140</v>
      </c>
      <c r="O213" s="13">
        <v>40</v>
      </c>
      <c r="P213" s="15">
        <v>70</v>
      </c>
      <c r="Q213" s="17">
        <v>70</v>
      </c>
      <c r="R213" s="22">
        <f t="shared" si="9"/>
        <v>465</v>
      </c>
    </row>
    <row r="214" spans="2:18" ht="30" customHeight="1" x14ac:dyDescent="0.25">
      <c r="B214" t="e" vm="225">
        <v>#VALUE!</v>
      </c>
      <c r="C214" s="5">
        <f t="shared" si="7"/>
        <v>211</v>
      </c>
      <c r="D214" s="1" t="s">
        <v>316</v>
      </c>
      <c r="E214" s="63" t="s">
        <v>69</v>
      </c>
      <c r="F214" s="37" t="s">
        <v>48</v>
      </c>
      <c r="G214" s="1" t="e" vm="49">
        <v>#VALUE!</v>
      </c>
      <c r="H214" s="1" t="s">
        <v>69</v>
      </c>
      <c r="K214" s="1" t="s">
        <v>295</v>
      </c>
      <c r="L214" s="7">
        <v>52</v>
      </c>
      <c r="M214" s="9">
        <v>65</v>
      </c>
      <c r="N214" s="11">
        <v>50</v>
      </c>
      <c r="O214" s="13">
        <v>45</v>
      </c>
      <c r="P214" s="15">
        <v>50</v>
      </c>
      <c r="Q214" s="17">
        <v>38</v>
      </c>
      <c r="R214" s="22">
        <f t="shared" si="9"/>
        <v>300</v>
      </c>
    </row>
    <row r="215" spans="2:18" ht="30" customHeight="1" x14ac:dyDescent="0.25">
      <c r="B215" t="e" vm="226">
        <v>#VALUE!</v>
      </c>
      <c r="C215" s="5">
        <f t="shared" si="7"/>
        <v>212</v>
      </c>
      <c r="D215" s="1" t="s">
        <v>317</v>
      </c>
      <c r="E215" s="63" t="s">
        <v>69</v>
      </c>
      <c r="F215" s="37" t="s">
        <v>48</v>
      </c>
      <c r="G215" s="1" t="e" vm="49">
        <v>#VALUE!</v>
      </c>
      <c r="H215" s="1" t="s">
        <v>69</v>
      </c>
      <c r="K215" s="1" t="s">
        <v>319</v>
      </c>
      <c r="L215" s="7">
        <v>72</v>
      </c>
      <c r="M215" s="9">
        <v>85</v>
      </c>
      <c r="N215" s="11">
        <v>70</v>
      </c>
      <c r="O215" s="13">
        <v>65</v>
      </c>
      <c r="P215" s="15">
        <v>70</v>
      </c>
      <c r="Q215" s="17">
        <v>58</v>
      </c>
      <c r="R215" s="22">
        <f t="shared" si="9"/>
        <v>420</v>
      </c>
    </row>
    <row r="216" spans="2:18" ht="30" customHeight="1" x14ac:dyDescent="0.25">
      <c r="B216" t="e" vm="227">
        <v>#VALUE!</v>
      </c>
      <c r="C216" s="5">
        <f t="shared" si="7"/>
        <v>213</v>
      </c>
      <c r="D216" s="1" t="s">
        <v>318</v>
      </c>
      <c r="E216" s="63" t="s">
        <v>69</v>
      </c>
      <c r="F216" s="37" t="s">
        <v>48</v>
      </c>
      <c r="G216" s="1" t="e" vm="49">
        <v>#VALUE!</v>
      </c>
      <c r="H216" s="1" t="s">
        <v>69</v>
      </c>
      <c r="K216" s="1" t="s">
        <v>22</v>
      </c>
      <c r="L216" s="7">
        <v>92</v>
      </c>
      <c r="M216" s="9">
        <v>105</v>
      </c>
      <c r="N216" s="11">
        <v>90</v>
      </c>
      <c r="O216" s="13">
        <v>125</v>
      </c>
      <c r="P216" s="15">
        <v>90</v>
      </c>
      <c r="Q216" s="17">
        <v>98</v>
      </c>
      <c r="R216" s="22">
        <f t="shared" si="9"/>
        <v>600</v>
      </c>
    </row>
    <row r="217" spans="2:18" ht="30" customHeight="1" x14ac:dyDescent="0.25">
      <c r="B217" s="5" t="e" vm="228">
        <v>#VALUE!</v>
      </c>
      <c r="C217" s="5">
        <f t="shared" si="7"/>
        <v>214</v>
      </c>
      <c r="D217" s="1" t="s">
        <v>320</v>
      </c>
      <c r="E217" s="55" t="s">
        <v>48</v>
      </c>
      <c r="F217" s="65" t="s">
        <v>50</v>
      </c>
      <c r="G217" s="1" t="e" vm="209">
        <v>#VALUE!</v>
      </c>
      <c r="H217" s="1" t="s">
        <v>293</v>
      </c>
      <c r="I217" s="1"/>
      <c r="J217" s="1"/>
      <c r="K217" s="1" t="s">
        <v>22</v>
      </c>
      <c r="L217" s="7">
        <v>155</v>
      </c>
      <c r="M217" s="9">
        <v>110</v>
      </c>
      <c r="N217" s="11">
        <v>125</v>
      </c>
      <c r="O217" s="13">
        <v>55</v>
      </c>
      <c r="P217" s="15">
        <v>80</v>
      </c>
      <c r="Q217" s="17">
        <v>45</v>
      </c>
      <c r="R217" s="22">
        <f t="shared" si="9"/>
        <v>570</v>
      </c>
    </row>
    <row r="218" spans="2:18" ht="30" customHeight="1" x14ac:dyDescent="0.25">
      <c r="B218" s="5" t="e" vm="229">
        <v>#VALUE!</v>
      </c>
      <c r="C218" s="5">
        <f t="shared" si="7"/>
        <v>215</v>
      </c>
      <c r="D218" s="1" t="s">
        <v>321</v>
      </c>
      <c r="E218" s="55" t="s">
        <v>48</v>
      </c>
      <c r="F218" s="62" t="s">
        <v>16</v>
      </c>
      <c r="G218" s="1" t="e" vm="209">
        <v>#VALUE!</v>
      </c>
      <c r="H218" s="1" t="s">
        <v>293</v>
      </c>
      <c r="I218" s="1"/>
      <c r="J218" s="1"/>
      <c r="K218" s="1" t="s">
        <v>22</v>
      </c>
      <c r="L218" s="7">
        <v>85</v>
      </c>
      <c r="M218" s="9">
        <v>85</v>
      </c>
      <c r="N218" s="11">
        <v>100</v>
      </c>
      <c r="O218" s="13">
        <v>95</v>
      </c>
      <c r="P218" s="15">
        <v>135</v>
      </c>
      <c r="Q218" s="17">
        <v>70</v>
      </c>
      <c r="R218" s="22">
        <f t="shared" si="9"/>
        <v>570</v>
      </c>
    </row>
    <row r="219" spans="2:18" ht="30" customHeight="1" x14ac:dyDescent="0.25">
      <c r="B219" s="5" t="e" vm="230">
        <v>#VALUE!</v>
      </c>
      <c r="C219" s="5">
        <f t="shared" si="7"/>
        <v>216</v>
      </c>
      <c r="D219" s="1" t="s">
        <v>322</v>
      </c>
      <c r="E219" s="55" t="s">
        <v>48</v>
      </c>
      <c r="F219" s="57" t="s">
        <v>24</v>
      </c>
      <c r="G219" s="1" t="e" vm="209">
        <v>#VALUE!</v>
      </c>
      <c r="H219" s="1" t="s">
        <v>293</v>
      </c>
      <c r="I219" s="1"/>
      <c r="J219" s="1"/>
      <c r="K219" s="1" t="s">
        <v>22</v>
      </c>
      <c r="L219" s="7">
        <v>55</v>
      </c>
      <c r="M219" s="9">
        <v>80</v>
      </c>
      <c r="N219" s="11">
        <v>80</v>
      </c>
      <c r="O219" s="13">
        <v>135</v>
      </c>
      <c r="P219" s="15">
        <v>120</v>
      </c>
      <c r="Q219" s="17">
        <v>100</v>
      </c>
      <c r="R219" s="22">
        <f t="shared" si="9"/>
        <v>570</v>
      </c>
    </row>
    <row r="220" spans="2:18" ht="30" customHeight="1" x14ac:dyDescent="0.25">
      <c r="B220" s="5" t="e" vm="231">
        <v>#VALUE!</v>
      </c>
      <c r="C220" s="5">
        <f t="shared" si="7"/>
        <v>217</v>
      </c>
      <c r="D220" s="1" t="s">
        <v>323</v>
      </c>
      <c r="E220" s="55" t="s">
        <v>48</v>
      </c>
      <c r="F220" s="56" t="s">
        <v>66</v>
      </c>
      <c r="G220" s="1" t="e" vm="209">
        <v>#VALUE!</v>
      </c>
      <c r="H220" s="1" t="s">
        <v>293</v>
      </c>
      <c r="I220" s="1"/>
      <c r="J220" s="1"/>
      <c r="K220" s="1" t="s">
        <v>22</v>
      </c>
      <c r="L220" s="7">
        <v>80</v>
      </c>
      <c r="M220" s="9">
        <v>120</v>
      </c>
      <c r="N220" s="11">
        <v>80</v>
      </c>
      <c r="O220" s="13">
        <v>90</v>
      </c>
      <c r="P220" s="15">
        <v>65</v>
      </c>
      <c r="Q220" s="17">
        <v>135</v>
      </c>
      <c r="R220" s="22">
        <f t="shared" si="9"/>
        <v>570</v>
      </c>
    </row>
    <row r="221" spans="2:18" ht="30" customHeight="1" x14ac:dyDescent="0.25">
      <c r="B221" t="e" vm="232">
        <v>#VALUE!</v>
      </c>
      <c r="C221" s="5">
        <f t="shared" si="7"/>
        <v>218</v>
      </c>
      <c r="D221" s="1" t="s">
        <v>328</v>
      </c>
      <c r="E221" s="34" t="s">
        <v>37</v>
      </c>
      <c r="F221" s="30"/>
      <c r="G221" s="1" t="e" vm="3">
        <v>#VALUE!</v>
      </c>
      <c r="H221" s="1" t="s">
        <v>17</v>
      </c>
      <c r="K221" s="1" t="s">
        <v>355</v>
      </c>
      <c r="L221" s="7">
        <v>55</v>
      </c>
      <c r="M221" s="9">
        <v>55</v>
      </c>
      <c r="N221" s="11">
        <v>50</v>
      </c>
      <c r="O221" s="13">
        <v>45</v>
      </c>
      <c r="P221" s="15">
        <v>65</v>
      </c>
      <c r="Q221" s="17">
        <v>55</v>
      </c>
      <c r="R221" s="22">
        <f t="shared" si="9"/>
        <v>325</v>
      </c>
    </row>
    <row r="222" spans="2:18" ht="30" customHeight="1" x14ac:dyDescent="0.25">
      <c r="B222" t="e" vm="233">
        <v>#VALUE!</v>
      </c>
      <c r="C222" s="5">
        <f t="shared" si="7"/>
        <v>219</v>
      </c>
      <c r="D222" s="1" t="s">
        <v>329</v>
      </c>
      <c r="E222" s="32" t="s">
        <v>30</v>
      </c>
      <c r="F222" s="30"/>
      <c r="G222" s="1" t="e" vm="3">
        <v>#VALUE!</v>
      </c>
      <c r="H222" s="1" t="s">
        <v>17</v>
      </c>
      <c r="K222" s="1" t="s">
        <v>22</v>
      </c>
      <c r="L222" s="7">
        <v>130</v>
      </c>
      <c r="M222" s="9">
        <v>65</v>
      </c>
      <c r="N222" s="11">
        <v>60</v>
      </c>
      <c r="O222" s="13">
        <v>110</v>
      </c>
      <c r="P222" s="15">
        <v>95</v>
      </c>
      <c r="Q222" s="17">
        <v>65</v>
      </c>
      <c r="R222" s="22">
        <f t="shared" si="9"/>
        <v>525</v>
      </c>
    </row>
    <row r="223" spans="2:18" ht="30" customHeight="1" x14ac:dyDescent="0.25">
      <c r="B223" t="e" vm="234">
        <v>#VALUE!</v>
      </c>
      <c r="C223" s="5">
        <f t="shared" si="7"/>
        <v>220</v>
      </c>
      <c r="D223" s="1" t="s">
        <v>330</v>
      </c>
      <c r="E223" s="44" t="s">
        <v>67</v>
      </c>
      <c r="F223" s="30"/>
      <c r="G223" s="1" t="e" vm="3">
        <v>#VALUE!</v>
      </c>
      <c r="H223" s="1" t="s">
        <v>17</v>
      </c>
      <c r="K223" s="1" t="s">
        <v>22</v>
      </c>
      <c r="L223" s="7">
        <v>65</v>
      </c>
      <c r="M223" s="9">
        <v>65</v>
      </c>
      <c r="N223" s="11">
        <v>60</v>
      </c>
      <c r="O223" s="13">
        <v>110</v>
      </c>
      <c r="P223" s="15">
        <v>95</v>
      </c>
      <c r="Q223" s="17">
        <v>130</v>
      </c>
      <c r="R223" s="22">
        <f t="shared" si="9"/>
        <v>525</v>
      </c>
    </row>
    <row r="224" spans="2:18" ht="30" customHeight="1" x14ac:dyDescent="0.25">
      <c r="B224" t="e" vm="235">
        <v>#VALUE!</v>
      </c>
      <c r="C224" s="5">
        <f t="shared" si="7"/>
        <v>221</v>
      </c>
      <c r="D224" s="1" t="s">
        <v>331</v>
      </c>
      <c r="E224" s="29" t="s">
        <v>24</v>
      </c>
      <c r="F224" s="30"/>
      <c r="G224" s="1" t="e" vm="3">
        <v>#VALUE!</v>
      </c>
      <c r="H224" s="1" t="s">
        <v>17</v>
      </c>
      <c r="K224" s="1" t="s">
        <v>22</v>
      </c>
      <c r="L224" s="7">
        <v>65</v>
      </c>
      <c r="M224" s="9">
        <v>130</v>
      </c>
      <c r="N224" s="11">
        <v>60</v>
      </c>
      <c r="O224" s="13">
        <v>95</v>
      </c>
      <c r="P224" s="15">
        <v>110</v>
      </c>
      <c r="Q224" s="17">
        <v>65</v>
      </c>
      <c r="R224" s="22">
        <f t="shared" si="9"/>
        <v>525</v>
      </c>
    </row>
    <row r="225" spans="2:18" ht="30" customHeight="1" x14ac:dyDescent="0.25">
      <c r="B225" t="e" vm="236">
        <v>#VALUE!</v>
      </c>
      <c r="C225" s="5">
        <f t="shared" si="7"/>
        <v>222</v>
      </c>
      <c r="D225" s="1" t="s">
        <v>332</v>
      </c>
      <c r="E225" s="53" t="s">
        <v>63</v>
      </c>
      <c r="F225" s="30"/>
      <c r="G225" s="1" t="e" vm="3">
        <v>#VALUE!</v>
      </c>
      <c r="H225" s="1" t="s">
        <v>17</v>
      </c>
      <c r="K225" s="1" t="s">
        <v>22</v>
      </c>
      <c r="L225" s="7">
        <v>65</v>
      </c>
      <c r="M225" s="9">
        <v>65</v>
      </c>
      <c r="N225" s="11">
        <v>60</v>
      </c>
      <c r="O225" s="13">
        <v>130</v>
      </c>
      <c r="P225" s="15">
        <v>95</v>
      </c>
      <c r="Q225" s="17">
        <v>110</v>
      </c>
      <c r="R225" s="22">
        <f t="shared" si="9"/>
        <v>525</v>
      </c>
    </row>
    <row r="226" spans="2:18" ht="30" customHeight="1" x14ac:dyDescent="0.25">
      <c r="B226" t="e" vm="237">
        <v>#VALUE!</v>
      </c>
      <c r="C226" s="5">
        <f t="shared" si="7"/>
        <v>223</v>
      </c>
      <c r="D226" s="1" t="s">
        <v>333</v>
      </c>
      <c r="E226" s="55" t="s">
        <v>48</v>
      </c>
      <c r="F226" s="30"/>
      <c r="G226" s="1" t="e" vm="3">
        <v>#VALUE!</v>
      </c>
      <c r="H226" s="1" t="s">
        <v>17</v>
      </c>
      <c r="K226" s="1" t="s">
        <v>22</v>
      </c>
      <c r="L226" s="7">
        <v>95</v>
      </c>
      <c r="M226" s="9">
        <v>65</v>
      </c>
      <c r="N226" s="11">
        <v>110</v>
      </c>
      <c r="O226" s="13">
        <v>60</v>
      </c>
      <c r="P226" s="15">
        <v>130</v>
      </c>
      <c r="Q226" s="17">
        <v>65</v>
      </c>
      <c r="R226" s="22">
        <f t="shared" si="9"/>
        <v>525</v>
      </c>
    </row>
    <row r="227" spans="2:18" ht="30" customHeight="1" x14ac:dyDescent="0.25">
      <c r="B227" t="e" vm="238">
        <v>#VALUE!</v>
      </c>
      <c r="C227" s="5">
        <f t="shared" si="7"/>
        <v>224</v>
      </c>
      <c r="D227" s="1" t="s">
        <v>334</v>
      </c>
      <c r="E227" s="27" t="s">
        <v>16</v>
      </c>
      <c r="F227" s="30"/>
      <c r="G227" s="1" t="e" vm="3">
        <v>#VALUE!</v>
      </c>
      <c r="H227" s="1" t="s">
        <v>17</v>
      </c>
      <c r="K227" s="1" t="s">
        <v>22</v>
      </c>
      <c r="L227" s="7">
        <v>65</v>
      </c>
      <c r="M227" s="9">
        <v>110</v>
      </c>
      <c r="N227" s="11">
        <v>130</v>
      </c>
      <c r="O227" s="13">
        <v>60</v>
      </c>
      <c r="P227" s="15">
        <v>65</v>
      </c>
      <c r="Q227" s="17">
        <v>95</v>
      </c>
      <c r="R227" s="22">
        <f t="shared" si="9"/>
        <v>525</v>
      </c>
    </row>
    <row r="228" spans="2:18" ht="30" customHeight="1" x14ac:dyDescent="0.25">
      <c r="B228" t="e" vm="239">
        <v>#VALUE!</v>
      </c>
      <c r="C228" s="5">
        <f t="shared" si="7"/>
        <v>225</v>
      </c>
      <c r="D228" s="1" t="s">
        <v>335</v>
      </c>
      <c r="E228" s="46" t="s">
        <v>66</v>
      </c>
      <c r="F228" s="30"/>
      <c r="G228" s="1" t="e" vm="3">
        <v>#VALUE!</v>
      </c>
      <c r="H228" s="1" t="s">
        <v>17</v>
      </c>
      <c r="K228" s="1" t="s">
        <v>22</v>
      </c>
      <c r="L228" s="7">
        <v>65</v>
      </c>
      <c r="M228" s="9">
        <v>60</v>
      </c>
      <c r="N228" s="11">
        <v>110</v>
      </c>
      <c r="O228" s="13">
        <v>130</v>
      </c>
      <c r="P228" s="15">
        <v>95</v>
      </c>
      <c r="Q228" s="17">
        <v>65</v>
      </c>
      <c r="R228" s="22">
        <f t="shared" si="9"/>
        <v>525</v>
      </c>
    </row>
    <row r="229" spans="2:18" ht="30" customHeight="1" x14ac:dyDescent="0.25">
      <c r="B229" t="e" vm="240">
        <v>#VALUE!</v>
      </c>
      <c r="C229" s="5">
        <f t="shared" si="7"/>
        <v>226</v>
      </c>
      <c r="D229" s="1" t="s">
        <v>336</v>
      </c>
      <c r="E229" s="54" t="s">
        <v>60</v>
      </c>
      <c r="F229" s="30"/>
      <c r="G229" s="1" t="e" vm="3">
        <v>#VALUE!</v>
      </c>
      <c r="H229" s="1" t="s">
        <v>17</v>
      </c>
      <c r="K229" s="1" t="s">
        <v>22</v>
      </c>
      <c r="L229" s="7">
        <v>95</v>
      </c>
      <c r="M229" s="9">
        <v>65</v>
      </c>
      <c r="N229" s="11">
        <v>65</v>
      </c>
      <c r="O229" s="13">
        <v>110</v>
      </c>
      <c r="P229" s="15">
        <v>130</v>
      </c>
      <c r="Q229" s="17">
        <v>60</v>
      </c>
      <c r="R229" s="22">
        <f t="shared" si="9"/>
        <v>525</v>
      </c>
    </row>
    <row r="230" spans="2:18" ht="30" customHeight="1" x14ac:dyDescent="0.25">
      <c r="B230" t="e" vm="241">
        <v>#VALUE!</v>
      </c>
      <c r="C230" s="5">
        <f t="shared" si="7"/>
        <v>227</v>
      </c>
      <c r="D230" s="1" t="s">
        <v>337</v>
      </c>
      <c r="E230" s="34" t="s">
        <v>37</v>
      </c>
      <c r="F230" s="45" t="s">
        <v>41</v>
      </c>
      <c r="G230" s="1" t="e" vm="17">
        <v>#VALUE!</v>
      </c>
      <c r="H230" s="1" t="s">
        <v>41</v>
      </c>
      <c r="K230" s="1" t="s">
        <v>341</v>
      </c>
      <c r="L230" s="7">
        <v>70</v>
      </c>
      <c r="M230" s="9">
        <v>83</v>
      </c>
      <c r="N230" s="11">
        <v>50</v>
      </c>
      <c r="O230" s="13">
        <v>37</v>
      </c>
      <c r="P230" s="15">
        <v>50</v>
      </c>
      <c r="Q230" s="17">
        <v>60</v>
      </c>
      <c r="R230" s="22">
        <f t="shared" si="9"/>
        <v>350</v>
      </c>
    </row>
    <row r="231" spans="2:18" ht="30" customHeight="1" x14ac:dyDescent="0.25">
      <c r="B231" t="e" vm="242">
        <v>#VALUE!</v>
      </c>
      <c r="C231" s="5">
        <f t="shared" si="7"/>
        <v>228</v>
      </c>
      <c r="D231" s="1" t="s">
        <v>338</v>
      </c>
      <c r="E231" s="34" t="s">
        <v>37</v>
      </c>
      <c r="F231" s="45" t="s">
        <v>41</v>
      </c>
      <c r="G231" s="1" t="e" vm="17">
        <v>#VALUE!</v>
      </c>
      <c r="H231" s="1" t="s">
        <v>41</v>
      </c>
      <c r="K231" s="1" t="s">
        <v>22</v>
      </c>
      <c r="L231" s="7">
        <v>100</v>
      </c>
      <c r="M231" s="9">
        <v>123</v>
      </c>
      <c r="N231" s="11">
        <v>75</v>
      </c>
      <c r="O231" s="13">
        <v>57</v>
      </c>
      <c r="P231" s="15">
        <v>75</v>
      </c>
      <c r="Q231" s="17">
        <v>80</v>
      </c>
      <c r="R231" s="22">
        <f t="shared" si="9"/>
        <v>510</v>
      </c>
    </row>
    <row r="232" spans="2:18" ht="30" customHeight="1" x14ac:dyDescent="0.25">
      <c r="B232" t="e" vm="243">
        <v>#VALUE!</v>
      </c>
      <c r="C232" s="5">
        <f t="shared" si="7"/>
        <v>229</v>
      </c>
      <c r="D232" s="1" t="s">
        <v>339</v>
      </c>
      <c r="E232" s="55" t="s">
        <v>48</v>
      </c>
      <c r="F232" s="45" t="s">
        <v>41</v>
      </c>
      <c r="G232" s="1" t="e" vm="17">
        <v>#VALUE!</v>
      </c>
      <c r="H232" s="1" t="s">
        <v>41</v>
      </c>
      <c r="K232" s="1" t="s">
        <v>341</v>
      </c>
      <c r="L232" s="7">
        <v>70</v>
      </c>
      <c r="M232" s="9">
        <v>55</v>
      </c>
      <c r="N232" s="11">
        <v>75</v>
      </c>
      <c r="O232" s="13">
        <v>45</v>
      </c>
      <c r="P232" s="15">
        <v>65</v>
      </c>
      <c r="Q232" s="17">
        <v>60</v>
      </c>
      <c r="R232" s="22">
        <f t="shared" si="9"/>
        <v>370</v>
      </c>
    </row>
    <row r="233" spans="2:18" ht="30" customHeight="1" x14ac:dyDescent="0.25">
      <c r="B233" t="e" vm="244">
        <v>#VALUE!</v>
      </c>
      <c r="C233" s="5">
        <f t="shared" si="7"/>
        <v>230</v>
      </c>
      <c r="D233" s="1" t="s">
        <v>340</v>
      </c>
      <c r="E233" s="55" t="s">
        <v>48</v>
      </c>
      <c r="F233" s="45" t="s">
        <v>41</v>
      </c>
      <c r="G233" s="1" t="e" vm="17">
        <v>#VALUE!</v>
      </c>
      <c r="H233" s="1" t="s">
        <v>41</v>
      </c>
      <c r="K233" s="1" t="s">
        <v>22</v>
      </c>
      <c r="L233" s="7">
        <v>110</v>
      </c>
      <c r="M233" s="9">
        <v>65</v>
      </c>
      <c r="N233" s="11">
        <v>105</v>
      </c>
      <c r="O233" s="13">
        <v>55</v>
      </c>
      <c r="P233" s="15">
        <v>95</v>
      </c>
      <c r="Q233" s="17">
        <v>80</v>
      </c>
      <c r="R233" s="22">
        <f t="shared" si="9"/>
        <v>510</v>
      </c>
    </row>
    <row r="234" spans="2:18" ht="30" customHeight="1" x14ac:dyDescent="0.25">
      <c r="B234" t="e" vm="245">
        <v>#VALUE!</v>
      </c>
      <c r="C234" s="5">
        <f t="shared" si="7"/>
        <v>231</v>
      </c>
      <c r="D234" s="1" t="s">
        <v>342</v>
      </c>
      <c r="E234" s="34" t="s">
        <v>37</v>
      </c>
      <c r="F234" s="30"/>
      <c r="G234" s="1" t="e" vm="246">
        <v>#VALUE!</v>
      </c>
      <c r="H234" s="1" t="s">
        <v>342</v>
      </c>
      <c r="K234" s="1" t="s">
        <v>22</v>
      </c>
      <c r="L234" s="7">
        <v>48</v>
      </c>
      <c r="M234" s="9">
        <v>48</v>
      </c>
      <c r="N234" s="11">
        <v>48</v>
      </c>
      <c r="O234" s="13">
        <v>48</v>
      </c>
      <c r="P234" s="15">
        <v>48</v>
      </c>
      <c r="Q234" s="17">
        <v>48</v>
      </c>
      <c r="R234" s="22">
        <f t="shared" si="9"/>
        <v>288</v>
      </c>
    </row>
    <row r="235" spans="2:18" ht="30" customHeight="1" x14ac:dyDescent="0.25">
      <c r="B235" t="e" vm="247">
        <v>#VALUE!</v>
      </c>
      <c r="C235" s="5">
        <f t="shared" si="7"/>
        <v>232</v>
      </c>
      <c r="D235" s="1" t="s">
        <v>343</v>
      </c>
      <c r="E235" s="36" t="s">
        <v>45</v>
      </c>
      <c r="F235" s="45" t="s">
        <v>41</v>
      </c>
      <c r="G235" s="1" t="e" vm="21">
        <v>#VALUE!</v>
      </c>
      <c r="H235" s="1" t="s">
        <v>45</v>
      </c>
      <c r="K235" s="1" t="s">
        <v>346</v>
      </c>
      <c r="L235" s="7">
        <v>70</v>
      </c>
      <c r="M235" s="9">
        <v>110</v>
      </c>
      <c r="N235" s="11">
        <v>80</v>
      </c>
      <c r="O235" s="13">
        <v>55</v>
      </c>
      <c r="P235" s="15">
        <v>80</v>
      </c>
      <c r="Q235" s="17">
        <v>105</v>
      </c>
      <c r="R235" s="22">
        <f t="shared" si="9"/>
        <v>500</v>
      </c>
    </row>
    <row r="236" spans="2:18" ht="30" customHeight="1" x14ac:dyDescent="0.25">
      <c r="B236" t="e" vm="248">
        <v>#VALUE!</v>
      </c>
      <c r="C236" s="5">
        <f t="shared" si="7"/>
        <v>233</v>
      </c>
      <c r="D236" s="1" t="s">
        <v>344</v>
      </c>
      <c r="E236" s="36" t="s">
        <v>45</v>
      </c>
      <c r="F236" s="33" t="s">
        <v>34</v>
      </c>
      <c r="G236" s="1" t="e" vm="21">
        <v>#VALUE!</v>
      </c>
      <c r="H236" s="1" t="s">
        <v>45</v>
      </c>
      <c r="K236" s="1" t="s">
        <v>22</v>
      </c>
      <c r="L236" s="7">
        <v>70</v>
      </c>
      <c r="M236" s="9">
        <v>130</v>
      </c>
      <c r="N236" s="11">
        <v>100</v>
      </c>
      <c r="O236" s="13">
        <v>55</v>
      </c>
      <c r="P236" s="15">
        <v>80</v>
      </c>
      <c r="Q236" s="17">
        <v>65</v>
      </c>
      <c r="R236" s="22">
        <f t="shared" si="9"/>
        <v>500</v>
      </c>
    </row>
    <row r="237" spans="2:18" ht="30" customHeight="1" x14ac:dyDescent="0.25">
      <c r="B237" t="e" vm="249">
        <v>#VALUE!</v>
      </c>
      <c r="C237" s="5">
        <f t="shared" si="7"/>
        <v>234</v>
      </c>
      <c r="D237" s="1" t="s">
        <v>345</v>
      </c>
      <c r="E237" s="36" t="s">
        <v>45</v>
      </c>
      <c r="F237" s="48" t="s">
        <v>64</v>
      </c>
      <c r="G237" s="1" t="e" vm="21">
        <v>#VALUE!</v>
      </c>
      <c r="H237" s="1" t="s">
        <v>45</v>
      </c>
      <c r="K237" s="1" t="s">
        <v>22</v>
      </c>
      <c r="L237" s="7">
        <v>70</v>
      </c>
      <c r="M237" s="9">
        <v>135</v>
      </c>
      <c r="N237" s="11">
        <v>95</v>
      </c>
      <c r="O237" s="13">
        <v>45</v>
      </c>
      <c r="P237" s="15">
        <v>70</v>
      </c>
      <c r="Q237" s="17">
        <v>85</v>
      </c>
      <c r="R237" s="22">
        <f t="shared" si="9"/>
        <v>500</v>
      </c>
    </row>
    <row r="238" spans="2:18" ht="30" customHeight="1" x14ac:dyDescent="0.25">
      <c r="B238" t="e" vm="250">
        <v>#VALUE!</v>
      </c>
      <c r="C238" s="5">
        <f t="shared" si="7"/>
        <v>235</v>
      </c>
      <c r="D238" s="1" t="s">
        <v>349</v>
      </c>
      <c r="E238" s="29" t="s">
        <v>24</v>
      </c>
      <c r="F238" s="30"/>
      <c r="G238" s="1" t="e" vm="209">
        <v>#VALUE!</v>
      </c>
      <c r="H238" s="1" t="s">
        <v>293</v>
      </c>
      <c r="K238" s="1" t="s">
        <v>83</v>
      </c>
      <c r="L238" s="7">
        <v>45</v>
      </c>
      <c r="M238" s="9">
        <v>75</v>
      </c>
      <c r="N238" s="11">
        <v>37</v>
      </c>
      <c r="O238" s="13">
        <v>70</v>
      </c>
      <c r="P238" s="15">
        <v>55</v>
      </c>
      <c r="Q238" s="17">
        <v>83</v>
      </c>
      <c r="R238" s="22">
        <f t="shared" si="9"/>
        <v>365</v>
      </c>
    </row>
    <row r="239" spans="2:18" ht="30" customHeight="1" x14ac:dyDescent="0.25">
      <c r="B239" t="e" vm="251">
        <v>#VALUE!</v>
      </c>
      <c r="C239" s="5">
        <f t="shared" si="7"/>
        <v>236</v>
      </c>
      <c r="D239" s="1" t="s">
        <v>350</v>
      </c>
      <c r="E239" s="29" t="s">
        <v>24</v>
      </c>
      <c r="F239" s="30"/>
      <c r="G239" s="1" t="e" vm="26">
        <v>#VALUE!</v>
      </c>
      <c r="H239" s="1" t="s">
        <v>54</v>
      </c>
      <c r="K239" s="1" t="s">
        <v>347</v>
      </c>
      <c r="L239" s="7">
        <v>65</v>
      </c>
      <c r="M239" s="9">
        <v>95</v>
      </c>
      <c r="N239" s="11">
        <v>57</v>
      </c>
      <c r="O239" s="13">
        <v>100</v>
      </c>
      <c r="P239" s="15">
        <v>85</v>
      </c>
      <c r="Q239" s="17">
        <v>93</v>
      </c>
      <c r="R239" s="22">
        <f t="shared" si="9"/>
        <v>495</v>
      </c>
    </row>
    <row r="240" spans="2:18" ht="30" customHeight="1" x14ac:dyDescent="0.25">
      <c r="B240" t="e" vm="252">
        <v>#VALUE!</v>
      </c>
      <c r="C240" s="5">
        <f t="shared" si="7"/>
        <v>237</v>
      </c>
      <c r="D240" s="1" t="s">
        <v>351</v>
      </c>
      <c r="E240" s="29" t="s">
        <v>24</v>
      </c>
      <c r="F240" s="30"/>
      <c r="G240" s="1" t="e" vm="26">
        <v>#VALUE!</v>
      </c>
      <c r="H240" s="1" t="s">
        <v>54</v>
      </c>
      <c r="K240" s="1" t="s">
        <v>22</v>
      </c>
      <c r="L240" s="7">
        <v>75</v>
      </c>
      <c r="M240" s="9">
        <v>95</v>
      </c>
      <c r="N240" s="11">
        <v>67</v>
      </c>
      <c r="O240" s="13">
        <v>125</v>
      </c>
      <c r="P240" s="15">
        <v>95</v>
      </c>
      <c r="Q240" s="17">
        <v>83</v>
      </c>
      <c r="R240" s="22">
        <f t="shared" si="9"/>
        <v>540</v>
      </c>
    </row>
    <row r="241" spans="2:18" ht="30" customHeight="1" x14ac:dyDescent="0.25">
      <c r="B241" t="e" vm="253">
        <v>#VALUE!</v>
      </c>
      <c r="C241" s="5">
        <f t="shared" si="7"/>
        <v>238</v>
      </c>
      <c r="D241" s="1" t="s">
        <v>352</v>
      </c>
      <c r="E241" s="44" t="s">
        <v>67</v>
      </c>
      <c r="F241" s="30"/>
      <c r="G241" s="1" t="e" vm="209">
        <v>#VALUE!</v>
      </c>
      <c r="H241" s="1" t="s">
        <v>293</v>
      </c>
      <c r="K241" s="1" t="s">
        <v>83</v>
      </c>
      <c r="L241" s="7">
        <v>45</v>
      </c>
      <c r="M241" s="9">
        <v>63</v>
      </c>
      <c r="N241" s="11">
        <v>37</v>
      </c>
      <c r="O241" s="13">
        <v>65</v>
      </c>
      <c r="P241" s="15">
        <v>55</v>
      </c>
      <c r="Q241" s="17">
        <v>95</v>
      </c>
      <c r="R241" s="22">
        <f t="shared" si="9"/>
        <v>360</v>
      </c>
    </row>
    <row r="242" spans="2:18" ht="30" customHeight="1" x14ac:dyDescent="0.25">
      <c r="B242" t="e" vm="254">
        <v>#VALUE!</v>
      </c>
      <c r="C242" s="5">
        <f t="shared" si="7"/>
        <v>239</v>
      </c>
      <c r="D242" s="1" t="s">
        <v>353</v>
      </c>
      <c r="E242" s="44" t="s">
        <v>67</v>
      </c>
      <c r="F242" s="30"/>
      <c r="G242" s="1" t="e" vm="26">
        <v>#VALUE!</v>
      </c>
      <c r="H242" s="1" t="s">
        <v>54</v>
      </c>
      <c r="K242" s="1" t="s">
        <v>348</v>
      </c>
      <c r="L242" s="7">
        <v>65</v>
      </c>
      <c r="M242" s="9">
        <v>83</v>
      </c>
      <c r="N242" s="11">
        <v>57</v>
      </c>
      <c r="O242" s="13">
        <v>95</v>
      </c>
      <c r="P242" s="15">
        <v>85</v>
      </c>
      <c r="Q242" s="17">
        <v>105</v>
      </c>
      <c r="R242" s="22">
        <f t="shared" si="9"/>
        <v>490</v>
      </c>
    </row>
    <row r="243" spans="2:18" ht="30" customHeight="1" x14ac:dyDescent="0.25">
      <c r="B243" t="e" vm="255">
        <v>#VALUE!</v>
      </c>
      <c r="C243" s="5">
        <f t="shared" si="7"/>
        <v>240</v>
      </c>
      <c r="D243" s="1" t="s">
        <v>354</v>
      </c>
      <c r="E243" s="44" t="s">
        <v>67</v>
      </c>
      <c r="F243" s="30"/>
      <c r="G243" s="1" t="e" vm="26">
        <v>#VALUE!</v>
      </c>
      <c r="H243" s="1" t="s">
        <v>54</v>
      </c>
      <c r="K243" s="1" t="s">
        <v>22</v>
      </c>
      <c r="L243" s="7">
        <v>75</v>
      </c>
      <c r="M243" s="9">
        <v>123</v>
      </c>
      <c r="N243" s="11">
        <v>67</v>
      </c>
      <c r="O243" s="13">
        <v>95</v>
      </c>
      <c r="P243" s="15">
        <v>85</v>
      </c>
      <c r="Q243" s="17">
        <v>95</v>
      </c>
      <c r="R243" s="22">
        <f t="shared" si="9"/>
        <v>540</v>
      </c>
    </row>
    <row r="244" spans="2:18" ht="30" customHeight="1" x14ac:dyDescent="0.25">
      <c r="B244" t="e" vm="256">
        <v>#VALUE!</v>
      </c>
      <c r="C244" s="5">
        <f t="shared" si="7"/>
        <v>241</v>
      </c>
      <c r="D244" s="1" t="s">
        <v>324</v>
      </c>
      <c r="E244" s="52" t="s">
        <v>34</v>
      </c>
      <c r="F244" s="30"/>
      <c r="G244" s="1" t="e" vm="34">
        <v>#VALUE!</v>
      </c>
      <c r="H244" s="1" t="s">
        <v>71</v>
      </c>
      <c r="K244" s="1" t="s">
        <v>43</v>
      </c>
      <c r="L244" s="7">
        <v>40</v>
      </c>
      <c r="M244" s="9">
        <v>55</v>
      </c>
      <c r="N244" s="11">
        <v>70</v>
      </c>
      <c r="O244" s="13">
        <v>45</v>
      </c>
      <c r="P244" s="15">
        <v>60</v>
      </c>
      <c r="Q244" s="17">
        <v>30</v>
      </c>
      <c r="R244" s="22">
        <f t="shared" si="9"/>
        <v>300</v>
      </c>
    </row>
    <row r="245" spans="2:18" ht="30" customHeight="1" x14ac:dyDescent="0.25">
      <c r="B245" t="e" vm="257">
        <v>#VALUE!</v>
      </c>
      <c r="C245" s="5">
        <f t="shared" si="7"/>
        <v>242</v>
      </c>
      <c r="D245" s="1" t="s">
        <v>325</v>
      </c>
      <c r="E245" s="52" t="s">
        <v>34</v>
      </c>
      <c r="F245" s="30"/>
      <c r="G245" s="1" t="e" vm="34">
        <v>#VALUE!</v>
      </c>
      <c r="H245" s="1" t="s">
        <v>71</v>
      </c>
      <c r="K245" s="1" t="s">
        <v>327</v>
      </c>
      <c r="L245" s="7">
        <v>60</v>
      </c>
      <c r="M245" s="9">
        <v>80</v>
      </c>
      <c r="N245" s="11">
        <v>95</v>
      </c>
      <c r="O245" s="13">
        <v>70</v>
      </c>
      <c r="P245" s="15">
        <v>85</v>
      </c>
      <c r="Q245" s="17">
        <v>50</v>
      </c>
      <c r="R245" s="22">
        <f t="shared" si="9"/>
        <v>440</v>
      </c>
    </row>
    <row r="246" spans="2:18" ht="30" customHeight="1" x14ac:dyDescent="0.25">
      <c r="B246" t="e" vm="258">
        <v>#VALUE!</v>
      </c>
      <c r="C246" s="5">
        <f t="shared" si="7"/>
        <v>243</v>
      </c>
      <c r="D246" s="1" t="s">
        <v>326</v>
      </c>
      <c r="E246" s="52" t="s">
        <v>34</v>
      </c>
      <c r="F246" s="30"/>
      <c r="G246" s="1" t="e" vm="34">
        <v>#VALUE!</v>
      </c>
      <c r="H246" s="1" t="s">
        <v>71</v>
      </c>
      <c r="K246" s="1" t="s">
        <v>22</v>
      </c>
      <c r="L246" s="7">
        <v>60</v>
      </c>
      <c r="M246" s="9">
        <v>100</v>
      </c>
      <c r="N246" s="11">
        <v>115</v>
      </c>
      <c r="O246" s="13">
        <v>70</v>
      </c>
      <c r="P246" s="15">
        <v>85</v>
      </c>
      <c r="Q246" s="17">
        <v>90</v>
      </c>
      <c r="R246" s="22">
        <f t="shared" si="9"/>
        <v>520</v>
      </c>
    </row>
    <row r="247" spans="2:18" ht="30" customHeight="1" x14ac:dyDescent="0.25">
      <c r="B247" t="e" vm="259">
        <v>#VALUE!</v>
      </c>
      <c r="C247" s="5">
        <f t="shared" si="7"/>
        <v>244</v>
      </c>
      <c r="D247" s="1" t="s">
        <v>356</v>
      </c>
      <c r="E247" s="53" t="s">
        <v>63</v>
      </c>
      <c r="F247" s="45" t="s">
        <v>41</v>
      </c>
      <c r="G247" s="1" t="e" vm="17">
        <v>#VALUE!</v>
      </c>
      <c r="H247" s="1" t="s">
        <v>41</v>
      </c>
      <c r="I247" s="1" t="e" vm="3">
        <v>#VALUE!</v>
      </c>
      <c r="J247" s="1" t="s">
        <v>17</v>
      </c>
      <c r="K247" s="1" t="s">
        <v>314</v>
      </c>
      <c r="L247" s="7">
        <v>55</v>
      </c>
      <c r="M247" s="9">
        <v>45</v>
      </c>
      <c r="N247" s="11">
        <v>43</v>
      </c>
      <c r="O247" s="13">
        <v>55</v>
      </c>
      <c r="P247" s="15">
        <v>43</v>
      </c>
      <c r="Q247" s="17">
        <v>72</v>
      </c>
      <c r="R247" s="22">
        <f t="shared" si="9"/>
        <v>313</v>
      </c>
    </row>
    <row r="248" spans="2:18" ht="30" customHeight="1" x14ac:dyDescent="0.25">
      <c r="B248" t="e" vm="260">
        <v>#VALUE!</v>
      </c>
      <c r="C248" s="5">
        <f t="shared" si="7"/>
        <v>245</v>
      </c>
      <c r="D248" s="1" t="s">
        <v>357</v>
      </c>
      <c r="E248" s="53" t="s">
        <v>63</v>
      </c>
      <c r="F248" s="45" t="s">
        <v>41</v>
      </c>
      <c r="G248" s="1" t="e" vm="17">
        <v>#VALUE!</v>
      </c>
      <c r="H248" s="1" t="s">
        <v>41</v>
      </c>
      <c r="I248" s="1" t="e" vm="3">
        <v>#VALUE!</v>
      </c>
      <c r="J248" s="1" t="s">
        <v>17</v>
      </c>
      <c r="K248" s="1" t="s">
        <v>22</v>
      </c>
      <c r="L248" s="7">
        <v>67</v>
      </c>
      <c r="M248" s="9">
        <v>57</v>
      </c>
      <c r="N248" s="11">
        <v>55</v>
      </c>
      <c r="O248" s="13">
        <v>77</v>
      </c>
      <c r="P248" s="15">
        <v>55</v>
      </c>
      <c r="Q248" s="17">
        <v>114</v>
      </c>
      <c r="R248" s="22">
        <f t="shared" si="9"/>
        <v>425</v>
      </c>
    </row>
    <row r="249" spans="2:18" ht="30" customHeight="1" x14ac:dyDescent="0.25">
      <c r="B249" s="5" t="e" vm="261">
        <v>#VALUE!</v>
      </c>
      <c r="C249" s="5">
        <f t="shared" si="7"/>
        <v>246</v>
      </c>
      <c r="D249" s="1" t="s">
        <v>294</v>
      </c>
      <c r="E249" s="39" t="s">
        <v>27</v>
      </c>
      <c r="F249" s="28"/>
      <c r="G249" s="1" t="e" vm="3">
        <v>#VALUE!</v>
      </c>
      <c r="H249" s="1" t="s">
        <v>17</v>
      </c>
      <c r="I249" s="1" t="e" vm="26">
        <v>#VALUE!</v>
      </c>
      <c r="J249" s="1" t="s">
        <v>54</v>
      </c>
      <c r="K249" s="1" t="s">
        <v>295</v>
      </c>
      <c r="L249" s="7">
        <v>45</v>
      </c>
      <c r="M249" s="9">
        <v>85</v>
      </c>
      <c r="N249" s="11">
        <v>50</v>
      </c>
      <c r="O249" s="13">
        <v>55</v>
      </c>
      <c r="P249" s="15">
        <v>50</v>
      </c>
      <c r="Q249" s="17">
        <v>65</v>
      </c>
      <c r="R249" s="22">
        <f t="shared" si="9"/>
        <v>350</v>
      </c>
    </row>
    <row r="250" spans="2:18" ht="30" customHeight="1" x14ac:dyDescent="0.25">
      <c r="B250" s="5" t="e" vm="262">
        <v>#VALUE!</v>
      </c>
      <c r="C250" s="5">
        <f t="shared" si="7"/>
        <v>247</v>
      </c>
      <c r="D250" s="1" t="s">
        <v>296</v>
      </c>
      <c r="E250" s="39" t="s">
        <v>27</v>
      </c>
      <c r="F250" s="28"/>
      <c r="G250" s="1" t="e" vm="3">
        <v>#VALUE!</v>
      </c>
      <c r="H250" s="1" t="s">
        <v>17</v>
      </c>
      <c r="I250" s="1" t="e" vm="26">
        <v>#VALUE!</v>
      </c>
      <c r="J250" s="1" t="s">
        <v>54</v>
      </c>
      <c r="K250" s="1" t="s">
        <v>22</v>
      </c>
      <c r="L250" s="7">
        <v>65</v>
      </c>
      <c r="M250" s="9">
        <v>125</v>
      </c>
      <c r="N250" s="11">
        <v>60</v>
      </c>
      <c r="O250" s="13">
        <v>95</v>
      </c>
      <c r="P250" s="15">
        <v>60</v>
      </c>
      <c r="Q250" s="17">
        <v>105</v>
      </c>
      <c r="R250" s="22">
        <f t="shared" si="9"/>
        <v>510</v>
      </c>
    </row>
    <row r="251" spans="2:18" ht="30" customHeight="1" x14ac:dyDescent="0.25">
      <c r="B251" t="e" vm="263">
        <v>#VALUE!</v>
      </c>
      <c r="C251" s="5">
        <f t="shared" si="7"/>
        <v>248</v>
      </c>
      <c r="D251" s="1" t="s">
        <v>360</v>
      </c>
      <c r="E251" s="34" t="s">
        <v>37</v>
      </c>
      <c r="F251" s="30"/>
      <c r="G251" s="1" t="e" vm="3">
        <v>#VALUE!</v>
      </c>
      <c r="H251" s="1" t="s">
        <v>17</v>
      </c>
      <c r="K251" s="1" t="s">
        <v>22</v>
      </c>
      <c r="L251" s="7">
        <v>73</v>
      </c>
      <c r="M251" s="9">
        <v>115</v>
      </c>
      <c r="N251" s="11">
        <v>60</v>
      </c>
      <c r="O251" s="13">
        <v>60</v>
      </c>
      <c r="P251" s="15">
        <v>60</v>
      </c>
      <c r="Q251" s="17">
        <v>90</v>
      </c>
      <c r="R251" s="22">
        <f t="shared" si="9"/>
        <v>458</v>
      </c>
    </row>
    <row r="252" spans="2:18" ht="30" customHeight="1" x14ac:dyDescent="0.25">
      <c r="B252" t="e" vm="264">
        <v>#VALUE!</v>
      </c>
      <c r="C252" s="5">
        <f t="shared" si="7"/>
        <v>249</v>
      </c>
      <c r="D252" s="1" t="s">
        <v>361</v>
      </c>
      <c r="E252" s="40" t="s">
        <v>68</v>
      </c>
      <c r="F252" s="30"/>
      <c r="G252" s="1" t="e" vm="3">
        <v>#VALUE!</v>
      </c>
      <c r="H252" s="1" t="s">
        <v>17</v>
      </c>
      <c r="I252" s="1" t="e" vm="49">
        <v>#VALUE!</v>
      </c>
      <c r="J252" s="1" t="s">
        <v>69</v>
      </c>
      <c r="K252" s="1" t="s">
        <v>22</v>
      </c>
      <c r="L252" s="7">
        <v>73</v>
      </c>
      <c r="M252" s="9">
        <v>100</v>
      </c>
      <c r="N252" s="11">
        <v>60</v>
      </c>
      <c r="O252" s="13">
        <v>100</v>
      </c>
      <c r="P252" s="15">
        <v>60</v>
      </c>
      <c r="Q252" s="17">
        <v>65</v>
      </c>
      <c r="R252" s="22">
        <f t="shared" si="9"/>
        <v>458</v>
      </c>
    </row>
    <row r="253" spans="2:18" ht="30" customHeight="1" x14ac:dyDescent="0.25">
      <c r="B253" t="e" vm="265">
        <v>#VALUE!</v>
      </c>
      <c r="C253" s="5">
        <f t="shared" si="7"/>
        <v>250</v>
      </c>
      <c r="D253" s="1" t="s">
        <v>362</v>
      </c>
      <c r="E253" s="32" t="s">
        <v>30</v>
      </c>
      <c r="F253" s="30"/>
      <c r="G253" s="1" t="e" vm="10">
        <v>#VALUE!</v>
      </c>
      <c r="H253" s="1" t="s">
        <v>31</v>
      </c>
      <c r="I253" s="1" t="e" vm="102">
        <v>#VALUE!</v>
      </c>
      <c r="J253" s="1" t="s">
        <v>157</v>
      </c>
      <c r="K253" s="1" t="s">
        <v>83</v>
      </c>
      <c r="L253" s="7">
        <v>43</v>
      </c>
      <c r="M253" s="9">
        <v>80</v>
      </c>
      <c r="N253" s="11">
        <v>65</v>
      </c>
      <c r="O253" s="13">
        <v>50</v>
      </c>
      <c r="P253" s="15">
        <v>35</v>
      </c>
      <c r="Q253" s="17">
        <v>35</v>
      </c>
      <c r="R253" s="22">
        <f t="shared" si="9"/>
        <v>308</v>
      </c>
    </row>
    <row r="254" spans="2:18" ht="30" customHeight="1" x14ac:dyDescent="0.25">
      <c r="B254" t="e" vm="266">
        <v>#VALUE!</v>
      </c>
      <c r="C254" s="5">
        <f t="shared" si="7"/>
        <v>251</v>
      </c>
      <c r="D254" s="1" t="s">
        <v>363</v>
      </c>
      <c r="E254" s="32" t="s">
        <v>30</v>
      </c>
      <c r="F254" s="37" t="s">
        <v>48</v>
      </c>
      <c r="G254" s="1" t="e" vm="10">
        <v>#VALUE!</v>
      </c>
      <c r="H254" s="1" t="s">
        <v>31</v>
      </c>
      <c r="I254" s="1" t="e" vm="102">
        <v>#VALUE!</v>
      </c>
      <c r="J254" s="1" t="s">
        <v>157</v>
      </c>
      <c r="K254" s="1" t="s">
        <v>22</v>
      </c>
      <c r="L254" s="7">
        <v>63</v>
      </c>
      <c r="M254" s="9">
        <v>120</v>
      </c>
      <c r="N254" s="11">
        <v>85</v>
      </c>
      <c r="O254" s="13">
        <v>90</v>
      </c>
      <c r="P254" s="15">
        <v>55</v>
      </c>
      <c r="Q254" s="17">
        <v>55</v>
      </c>
      <c r="R254" s="22">
        <f t="shared" si="9"/>
        <v>468</v>
      </c>
    </row>
    <row r="255" spans="2:18" ht="30" customHeight="1" x14ac:dyDescent="0.25">
      <c r="B255" t="e" vm="267">
        <v>#VALUE!</v>
      </c>
      <c r="C255" s="5">
        <f t="shared" si="7"/>
        <v>252</v>
      </c>
      <c r="D255" s="1" t="s">
        <v>369</v>
      </c>
      <c r="E255" s="32" t="s">
        <v>30</v>
      </c>
      <c r="F255" s="48" t="s">
        <v>64</v>
      </c>
      <c r="G255" s="1" t="e" vm="10">
        <v>#VALUE!</v>
      </c>
      <c r="H255" s="1" t="s">
        <v>31</v>
      </c>
      <c r="I255" s="1" t="e" vm="64">
        <v>#VALUE!</v>
      </c>
      <c r="J255" s="1" t="s">
        <v>118</v>
      </c>
      <c r="K255" s="1" t="s">
        <v>22</v>
      </c>
      <c r="L255" s="7">
        <v>43</v>
      </c>
      <c r="M255" s="9">
        <v>80</v>
      </c>
      <c r="N255" s="11">
        <v>65</v>
      </c>
      <c r="O255" s="13">
        <v>50</v>
      </c>
      <c r="P255" s="15">
        <v>35</v>
      </c>
      <c r="Q255" s="17">
        <v>35</v>
      </c>
      <c r="R255" s="22">
        <f t="shared" ref="R255" si="10">SUM(L255:Q255)</f>
        <v>308</v>
      </c>
    </row>
    <row r="256" spans="2:18" ht="30" customHeight="1" x14ac:dyDescent="0.25">
      <c r="B256" t="e" vm="268">
        <v>#VALUE!</v>
      </c>
      <c r="C256" s="5">
        <f t="shared" si="7"/>
        <v>253</v>
      </c>
      <c r="D256" s="1" t="s">
        <v>364</v>
      </c>
      <c r="E256" s="27" t="s">
        <v>16</v>
      </c>
      <c r="F256" s="45" t="s">
        <v>41</v>
      </c>
      <c r="G256" s="1" t="e" vm="138">
        <v>#VALUE!</v>
      </c>
      <c r="H256" s="1" t="s">
        <v>202</v>
      </c>
      <c r="I256" s="1" t="e" vm="2">
        <v>#VALUE!</v>
      </c>
      <c r="J256" s="1" t="s">
        <v>16</v>
      </c>
      <c r="K256" s="1" t="s">
        <v>22</v>
      </c>
      <c r="L256" s="7">
        <v>99</v>
      </c>
      <c r="M256" s="9">
        <v>68</v>
      </c>
      <c r="N256" s="11">
        <v>83</v>
      </c>
      <c r="O256" s="13">
        <v>72</v>
      </c>
      <c r="P256" s="15">
        <v>87</v>
      </c>
      <c r="Q256" s="17">
        <v>51</v>
      </c>
      <c r="R256" s="22">
        <f t="shared" si="9"/>
        <v>460</v>
      </c>
    </row>
    <row r="257" spans="2:18" ht="30" customHeight="1" x14ac:dyDescent="0.25">
      <c r="B257" t="e" vm="269">
        <v>#VALUE!</v>
      </c>
      <c r="C257" s="5">
        <f t="shared" si="7"/>
        <v>254</v>
      </c>
      <c r="D257" s="1" t="s">
        <v>372</v>
      </c>
      <c r="E257" s="63" t="s">
        <v>69</v>
      </c>
      <c r="F257" s="30"/>
      <c r="G257" s="1" t="e" vm="49">
        <v>#VALUE!</v>
      </c>
      <c r="H257" s="1" t="s">
        <v>69</v>
      </c>
      <c r="I257" s="1" t="e" vm="138">
        <v>#VALUE!</v>
      </c>
      <c r="J257" s="1" t="s">
        <v>202</v>
      </c>
      <c r="K257" s="1" t="s">
        <v>22</v>
      </c>
      <c r="L257" s="7">
        <v>77</v>
      </c>
      <c r="M257" s="9">
        <v>120</v>
      </c>
      <c r="N257" s="11">
        <v>90</v>
      </c>
      <c r="O257" s="13">
        <v>60</v>
      </c>
      <c r="P257" s="15">
        <v>90</v>
      </c>
      <c r="Q257" s="17">
        <v>48</v>
      </c>
      <c r="R257" s="22">
        <f t="shared" si="9"/>
        <v>485</v>
      </c>
    </row>
    <row r="258" spans="2:18" ht="30" customHeight="1" x14ac:dyDescent="0.25">
      <c r="B258" t="e" vm="270">
        <v>#VALUE!</v>
      </c>
      <c r="C258" s="5">
        <f t="shared" si="7"/>
        <v>255</v>
      </c>
      <c r="D258" s="1" t="s">
        <v>365</v>
      </c>
      <c r="E258" s="63" t="s">
        <v>69</v>
      </c>
      <c r="F258" s="47" t="s">
        <v>65</v>
      </c>
      <c r="G258" s="1" t="e" vm="74">
        <v>#VALUE!</v>
      </c>
      <c r="H258" s="1" t="s">
        <v>114</v>
      </c>
      <c r="I258" s="1" t="e" vm="49">
        <v>#VALUE!</v>
      </c>
      <c r="J258" s="1" t="s">
        <v>69</v>
      </c>
      <c r="K258" s="1" t="s">
        <v>295</v>
      </c>
      <c r="L258" s="7">
        <v>28</v>
      </c>
      <c r="M258" s="9">
        <v>60</v>
      </c>
      <c r="N258" s="11">
        <v>30</v>
      </c>
      <c r="O258" s="13">
        <v>40</v>
      </c>
      <c r="P258" s="15">
        <v>30</v>
      </c>
      <c r="Q258" s="17">
        <v>82</v>
      </c>
      <c r="R258" s="22">
        <f t="shared" si="9"/>
        <v>270</v>
      </c>
    </row>
    <row r="259" spans="2:18" ht="30" customHeight="1" x14ac:dyDescent="0.25">
      <c r="B259" t="e" vm="271">
        <v>#VALUE!</v>
      </c>
      <c r="C259" s="5">
        <f t="shared" si="7"/>
        <v>256</v>
      </c>
      <c r="D259" s="1" t="s">
        <v>366</v>
      </c>
      <c r="E259" s="63" t="s">
        <v>69</v>
      </c>
      <c r="F259" s="47" t="s">
        <v>65</v>
      </c>
      <c r="G259" s="1" t="e" vm="74">
        <v>#VALUE!</v>
      </c>
      <c r="H259" s="1" t="s">
        <v>114</v>
      </c>
      <c r="I259" s="1" t="e" vm="49">
        <v>#VALUE!</v>
      </c>
      <c r="J259" s="1" t="s">
        <v>69</v>
      </c>
      <c r="K259" s="1" t="s">
        <v>368</v>
      </c>
      <c r="L259" s="7">
        <v>68</v>
      </c>
      <c r="M259" s="9">
        <v>80</v>
      </c>
      <c r="N259" s="11">
        <v>50</v>
      </c>
      <c r="O259" s="13">
        <v>60</v>
      </c>
      <c r="P259" s="15">
        <v>50</v>
      </c>
      <c r="Q259" s="17">
        <v>102</v>
      </c>
      <c r="R259" s="22">
        <f t="shared" si="9"/>
        <v>410</v>
      </c>
    </row>
    <row r="260" spans="2:18" ht="30" customHeight="1" x14ac:dyDescent="0.25">
      <c r="B260" t="e" vm="272">
        <v>#VALUE!</v>
      </c>
      <c r="C260" s="5">
        <f t="shared" si="7"/>
        <v>257</v>
      </c>
      <c r="D260" s="1" t="s">
        <v>367</v>
      </c>
      <c r="E260" s="63" t="s">
        <v>69</v>
      </c>
      <c r="F260" s="47" t="s">
        <v>65</v>
      </c>
      <c r="G260" s="1" t="e" vm="74">
        <v>#VALUE!</v>
      </c>
      <c r="H260" s="1" t="s">
        <v>114</v>
      </c>
      <c r="I260" s="1" t="e" vm="49">
        <v>#VALUE!</v>
      </c>
      <c r="J260" s="1" t="s">
        <v>69</v>
      </c>
      <c r="K260" s="1" t="s">
        <v>22</v>
      </c>
      <c r="L260" s="7">
        <v>88</v>
      </c>
      <c r="M260" s="9">
        <v>120</v>
      </c>
      <c r="N260" s="11">
        <v>75</v>
      </c>
      <c r="O260" s="13">
        <v>100</v>
      </c>
      <c r="P260" s="15">
        <v>75</v>
      </c>
      <c r="Q260" s="17">
        <v>142</v>
      </c>
      <c r="R260" s="22">
        <f t="shared" si="9"/>
        <v>600</v>
      </c>
    </row>
    <row r="261" spans="2:18" ht="30" customHeight="1" x14ac:dyDescent="0.25">
      <c r="B261" t="e" vm="273">
        <v>#VALUE!</v>
      </c>
      <c r="C261" s="5">
        <f t="shared" si="7"/>
        <v>258</v>
      </c>
      <c r="D261" s="1" t="s">
        <v>370</v>
      </c>
      <c r="E261" s="55" t="s">
        <v>48</v>
      </c>
      <c r="F261" s="30"/>
      <c r="G261" s="1" t="e" vm="3">
        <v>#VALUE!</v>
      </c>
      <c r="H261" s="1" t="s">
        <v>17</v>
      </c>
      <c r="K261" s="1" t="s">
        <v>83</v>
      </c>
      <c r="L261" s="7"/>
      <c r="M261" s="9"/>
      <c r="N261" s="11"/>
      <c r="O261" s="13"/>
      <c r="P261" s="15"/>
      <c r="Q261" s="17"/>
      <c r="R261" s="22">
        <f t="shared" si="9"/>
        <v>0</v>
      </c>
    </row>
    <row r="262" spans="2:18" ht="30" customHeight="1" x14ac:dyDescent="0.25">
      <c r="B262" s="5" t="e" vm="274">
        <v>#VALUE!</v>
      </c>
      <c r="C262" s="5">
        <f t="shared" si="7"/>
        <v>259</v>
      </c>
      <c r="D262" s="1" t="s">
        <v>371</v>
      </c>
      <c r="E262" s="55" t="s">
        <v>48</v>
      </c>
      <c r="F262" s="30"/>
      <c r="G262" s="1" t="e" vm="3">
        <v>#VALUE!</v>
      </c>
      <c r="H262" s="1" t="s">
        <v>17</v>
      </c>
      <c r="I262" s="1"/>
      <c r="J262" s="1"/>
      <c r="K262" s="1" t="s">
        <v>22</v>
      </c>
      <c r="L262" s="7"/>
      <c r="M262" s="9"/>
      <c r="N262" s="11"/>
      <c r="O262" s="13"/>
      <c r="P262" s="15"/>
      <c r="Q262" s="17"/>
      <c r="R262" s="22">
        <f t="shared" si="9"/>
        <v>0</v>
      </c>
    </row>
    <row r="263" spans="2:18" ht="30" customHeight="1" x14ac:dyDescent="0.25">
      <c r="B263" s="5"/>
      <c r="C263" s="5">
        <f t="shared" si="7"/>
        <v>260</v>
      </c>
      <c r="D263" s="1" t="s">
        <v>297</v>
      </c>
      <c r="E263" s="66"/>
      <c r="F263" s="30"/>
      <c r="G263" s="1"/>
      <c r="H263" s="1"/>
      <c r="I263" s="1"/>
      <c r="J263" s="1"/>
      <c r="K263" s="1"/>
      <c r="L263" s="7"/>
      <c r="M263" s="9"/>
      <c r="N263" s="11"/>
      <c r="O263" s="13"/>
      <c r="P263" s="15"/>
      <c r="Q263" s="17"/>
      <c r="R263" s="22">
        <f t="shared" si="9"/>
        <v>0</v>
      </c>
    </row>
    <row r="264" spans="2:18" ht="30" customHeight="1" x14ac:dyDescent="0.25">
      <c r="C264" s="5">
        <f t="shared" si="7"/>
        <v>261</v>
      </c>
      <c r="D264" s="1" t="s">
        <v>297</v>
      </c>
      <c r="E264" s="66"/>
      <c r="F264" s="30"/>
      <c r="L264" s="7"/>
      <c r="M264" s="9"/>
      <c r="N264" s="11"/>
      <c r="O264" s="13"/>
      <c r="P264" s="15"/>
      <c r="Q264" s="17"/>
      <c r="R264" s="22">
        <f t="shared" si="9"/>
        <v>0</v>
      </c>
    </row>
    <row r="265" spans="2:18" ht="30" customHeight="1" x14ac:dyDescent="0.25">
      <c r="C265" s="5">
        <f t="shared" si="7"/>
        <v>262</v>
      </c>
      <c r="D265" s="1" t="s">
        <v>297</v>
      </c>
      <c r="E265" s="66"/>
      <c r="F265" s="30"/>
      <c r="L265" s="7"/>
      <c r="M265" s="9"/>
      <c r="N265" s="11"/>
      <c r="O265" s="13"/>
      <c r="P265" s="15"/>
      <c r="Q265" s="17"/>
      <c r="R265" s="22">
        <f t="shared" si="9"/>
        <v>0</v>
      </c>
    </row>
    <row r="266" spans="2:18" ht="30" customHeight="1" x14ac:dyDescent="0.25">
      <c r="C266" s="5">
        <f t="shared" si="7"/>
        <v>263</v>
      </c>
      <c r="D266" s="1" t="s">
        <v>297</v>
      </c>
      <c r="E266" s="66"/>
      <c r="F266" s="30"/>
      <c r="L266" s="7"/>
      <c r="M266" s="9"/>
      <c r="N266" s="11"/>
      <c r="O266" s="13"/>
      <c r="P266" s="15"/>
      <c r="Q266" s="17"/>
      <c r="R266" s="22">
        <f t="shared" si="9"/>
        <v>0</v>
      </c>
    </row>
    <row r="267" spans="2:18" ht="30" customHeight="1" x14ac:dyDescent="0.25">
      <c r="C267" s="5">
        <f t="shared" si="7"/>
        <v>264</v>
      </c>
      <c r="D267" s="1" t="s">
        <v>297</v>
      </c>
      <c r="E267" s="66"/>
      <c r="F267" s="30"/>
      <c r="L267" s="7"/>
      <c r="M267" s="9"/>
      <c r="N267" s="11"/>
      <c r="O267" s="13"/>
      <c r="P267" s="15"/>
      <c r="Q267" s="17"/>
      <c r="R267" s="22">
        <f t="shared" si="9"/>
        <v>0</v>
      </c>
    </row>
  </sheetData>
  <mergeCells count="3">
    <mergeCell ref="L2:Q2"/>
    <mergeCell ref="G3:H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Pokédex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Baudinet</dc:creator>
  <cp:lastModifiedBy>Pierre Baudinet</cp:lastModifiedBy>
  <dcterms:created xsi:type="dcterms:W3CDTF">2015-06-05T18:17:20Z</dcterms:created>
  <dcterms:modified xsi:type="dcterms:W3CDTF">2026-07-25T07:29:19Z</dcterms:modified>
</cp:coreProperties>
</file>